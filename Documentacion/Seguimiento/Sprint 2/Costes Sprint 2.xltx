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C:\Users\Alejandro\Desktop\TFG\INFORMES\"/>
    </mc:Choice>
  </mc:AlternateContent>
  <xr:revisionPtr revIDLastSave="0" documentId="8_{8967329B-781B-4BFA-98DB-AF709B7AFB54}" xr6:coauthVersionLast="47" xr6:coauthVersionMax="47" xr10:uidLastSave="{00000000-0000-0000-0000-000000000000}"/>
  <bookViews>
    <workbookView xWindow="-120" yWindow="-120" windowWidth="38640" windowHeight="21120" xr2:uid="{0FEAAFA2-80FE-430B-8F1D-9D98C85AE304}"/>
  </bookViews>
  <sheets>
    <sheet name="Hoja1" sheetId="1" r:id="rId1"/>
  </sheets>
  <calcPr calcId="191029"/>
  <pivotCaches>
    <pivotCache cacheId="44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AAB2F6C-519A-4023-BD78-045D12054575}" keepAlive="1" name="Conexión" type="5" refreshedVersion="8">
    <dbPr connection="Provider=MSOLAP.8;Persist Security Info=True;Data Source=C:\Users\ALEJAN~1\AppData\Local\Temp\VisualReportsTemporaryData\{383e30ab-803e-f111-a467-fae0b4765011}\TaskTP.cub;MDX Compatibility=1;Safety Options=2;MDX Missing Member Mode=Error;Update Isolation Level=2" command="ProjectReport" commandType="1"/>
    <olapPr sendLocale="1" rowDrillCount="1000"/>
  </connection>
</connections>
</file>

<file path=xl/sharedStrings.xml><?xml version="1.0" encoding="utf-8"?>
<sst xmlns="http://schemas.openxmlformats.org/spreadsheetml/2006/main" count="81" uniqueCount="50">
  <si>
    <t>Costo</t>
  </si>
  <si>
    <t>Datos</t>
  </si>
  <si>
    <t>Costo acumulado</t>
  </si>
  <si>
    <t>Año</t>
  </si>
  <si>
    <t>2026</t>
  </si>
  <si>
    <t>Total general</t>
  </si>
  <si>
    <t xml:space="preserve">Tarea </t>
  </si>
  <si>
    <t>Rise Of The Lost Colors</t>
  </si>
  <si>
    <t>Total Costo</t>
  </si>
  <si>
    <t>Total Costo acumulado</t>
  </si>
  <si>
    <t>Tarea  1</t>
  </si>
  <si>
    <t>Gestión y Planificación</t>
  </si>
  <si>
    <t>Núcleo jugable</t>
  </si>
  <si>
    <t>Sistemas globales</t>
  </si>
  <si>
    <t>Calidad</t>
  </si>
  <si>
    <t>Entrega y cierre</t>
  </si>
  <si>
    <t>Trimestre</t>
  </si>
  <si>
    <t>T1</t>
  </si>
  <si>
    <t>T2</t>
  </si>
  <si>
    <t>Semana</t>
  </si>
  <si>
    <t>Semana 5</t>
  </si>
  <si>
    <t>Semana 6</t>
  </si>
  <si>
    <t>Semana 7</t>
  </si>
  <si>
    <t>Semana 8</t>
  </si>
  <si>
    <t>Semana 9</t>
  </si>
  <si>
    <t>Semana 10</t>
  </si>
  <si>
    <t>Semana 11</t>
  </si>
  <si>
    <t>Semana 12</t>
  </si>
  <si>
    <t>Semana 13</t>
  </si>
  <si>
    <t>Semana 14</t>
  </si>
  <si>
    <t>Semana 15</t>
  </si>
  <si>
    <t>Semana 16</t>
  </si>
  <si>
    <t>Semana 17</t>
  </si>
  <si>
    <t>Semana 18</t>
  </si>
  <si>
    <t>Semana 19</t>
  </si>
  <si>
    <t>Semana 20</t>
  </si>
  <si>
    <t>Tarea  2</t>
  </si>
  <si>
    <t>Documentación</t>
  </si>
  <si>
    <t>Sistema del jugador</t>
  </si>
  <si>
    <t>Sistema de enemigos comunes</t>
  </si>
  <si>
    <t>Sistema de mini-jefes adaptativo</t>
  </si>
  <si>
    <t>Sistema jefes</t>
  </si>
  <si>
    <t>Sistema de niveles</t>
  </si>
  <si>
    <t>Sistema de interfaz y menús</t>
  </si>
  <si>
    <t>Sistema de guardado y progresión</t>
  </si>
  <si>
    <t>Sistema de leaderboard y analíticas</t>
  </si>
  <si>
    <t>Sistema de audio</t>
  </si>
  <si>
    <t>Pruebas y validación</t>
  </si>
  <si>
    <t>Entrega de producto</t>
  </si>
  <si>
    <t>Documentación de cierre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</si>
</sst>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pivotButton="1" applyBorder="1"/>
    <xf numFmtId="0" fontId="0" fillId="0" borderId="6" xfId="0" applyBorder="1"/>
    <xf numFmtId="0" fontId="0" fillId="0" borderId="7" xfId="0" applyBorder="1"/>
    <xf numFmtId="0" fontId="0" fillId="0" borderId="8" xfId="0" applyNumberFormat="1" applyBorder="1"/>
    <xf numFmtId="0" fontId="0" fillId="0" borderId="6" xfId="0" applyNumberFormat="1" applyBorder="1"/>
    <xf numFmtId="0" fontId="0" fillId="0" borderId="1" xfId="0" applyNumberFormat="1" applyBorder="1"/>
    <xf numFmtId="0" fontId="0" fillId="0" borderId="9" xfId="0" applyBorder="1"/>
    <xf numFmtId="0" fontId="0" fillId="0" borderId="7" xfId="0" applyNumberFormat="1" applyBorder="1"/>
    <xf numFmtId="0" fontId="0" fillId="0" borderId="10" xfId="0" applyBorder="1"/>
    <xf numFmtId="0" fontId="0" fillId="0" borderId="10" xfId="0" applyNumberFormat="1" applyBorder="1"/>
    <xf numFmtId="0" fontId="0" fillId="0" borderId="11" xfId="0" applyNumberFormat="1" applyBorder="1"/>
    <xf numFmtId="0" fontId="0" fillId="0" borderId="2" xfId="0" pivotButton="1" applyBorder="1"/>
    <xf numFmtId="0" fontId="0" fillId="0" borderId="12" xfId="0" applyBorder="1"/>
    <xf numFmtId="0" fontId="0" fillId="0" borderId="13" xfId="0" applyBorder="1"/>
    <xf numFmtId="0" fontId="0" fillId="0" borderId="12" xfId="0" applyNumberFormat="1" applyBorder="1"/>
    <xf numFmtId="0" fontId="0" fillId="0" borderId="0" xfId="0" applyNumberFormat="1"/>
    <xf numFmtId="0" fontId="0" fillId="0" borderId="1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jandro" refreshedDate="46134.891266435188" createdVersion="8" refreshedVersion="8" recordCount="0" supportSubquery="1" supportAdvancedDrill="1" xr:uid="{4B299394-3DF6-4449-8FC7-CC6479C9179D}">
  <cacheSource type="external" connectionId="1"/>
  <cacheFields count="27">
    <cacheField name="[Measures].[Costo]" caption="Costo" numFmtId="0" hierarchy="31" level="32767"/>
    <cacheField name="[Measures].[Costo acumulado]" caption="Costo acumulado" numFmtId="0" hierarchy="36" level="32767"/>
    <cacheField name="[Hora].[Semanal].[Año]" caption="Año" numFmtId="0" level="1">
      <sharedItems count="1">
        <s v="[Hora].[Semanal].[Año].&amp;[2026]" c="2026"/>
      </sharedItems>
    </cacheField>
    <cacheField name="[Hora].[Semanal].[Trimestre]" caption="Trimestre" numFmtId="0" level="2">
      <sharedItems count="2">
        <s v="[Hora].[Semanal].[Año].&amp;[2026].&amp;[T1]" c="T1"/>
        <s v="[Hora].[Semanal].[Año].&amp;[2026].&amp;[T2]" c="T2"/>
      </sharedItems>
    </cacheField>
    <cacheField name="[Hora].[Semanal].[Semana]" caption="Semana" numFmtId="0" level="3">
      <sharedItems count="16">
        <s v="[Hora].[Semanal].[Año].&amp;[2026].&amp;[T1].&amp;[0]" c="Semana 5"/>
        <s v="[Hora].[Semanal].[Año].&amp;[2026].&amp;[T1].&amp;[1]" c="Semana 6"/>
        <s v="[Hora].[Semanal].[Año].&amp;[2026].&amp;[T1].&amp;[2]" c="Semana 7"/>
        <s v="[Hora].[Semanal].[Año].&amp;[2026].&amp;[T1].&amp;[3]" c="Semana 8"/>
        <s v="[Hora].[Semanal].[Año].&amp;[2026].&amp;[T1].&amp;[4]" c="Semana 9"/>
        <s v="[Hora].[Semanal].[Año].&amp;[2026].&amp;[T1].&amp;[5]" c="Semana 10"/>
        <s v="[Hora].[Semanal].[Año].&amp;[2026].&amp;[T1].&amp;[6]" c="Semana 11"/>
        <s v="[Hora].[Semanal].[Año].&amp;[2026].&amp;[T1].&amp;[7]" c="Semana 12"/>
        <s v="[Hora].[Semanal].[Año].&amp;[2026].&amp;[T1].&amp;[8]" c="Semana 13"/>
        <s v="[Hora].[Semanal].[Año].&amp;[2026].&amp;[T2].&amp;[9]" c="Semana 14"/>
        <s v="[Hora].[Semanal].[Año].&amp;[2026].&amp;[T2].&amp;[10]" c="Semana 15"/>
        <s v="[Hora].[Semanal].[Año].&amp;[2026].&amp;[T2].&amp;[11]" c="Semana 16"/>
        <s v="[Hora].[Semanal].[Año].&amp;[2026].&amp;[T2].&amp;[12]" c="Semana 17"/>
        <s v="[Hora].[Semanal].[Año].&amp;[2026].&amp;[T2].&amp;[13]" c="Semana 18"/>
        <s v="[Hora].[Semanal].[Año].&amp;[2026].&amp;[T2].&amp;[14]" c="Semana 19"/>
        <s v="[Hora].[Semanal].[Año].&amp;[2026].&amp;[T2].&amp;[15]" c="Semana 20"/>
      </sharedItems>
    </cacheField>
    <cacheField name="[Tareas].[Tareas].[Tarea ]" caption="Tarea " numFmtId="0" hierarchy="1" level="1" mappingCount="17">
      <sharedItems count="1">
        <s v="[Tareas].[Tareas].&amp;[{07F0DAA7-D0A4-4C7B-936F-09CD70C0E77A}]" c="Rise Of The Lost Colors"/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Tarea  1]" caption="Tarea  1" numFmtId="0" hierarchy="1" level="2" mappingCount="17">
      <sharedItems count="6">
        <s v="[Tareas].[Tareas].&amp;[{07F0DAA7-D0A4-4C7B-936F-09CD70C0E77A}].DATAMEMBER" c="Rise Of The Lost Colors"/>
        <s v="[Tareas].[Tareas].&amp;[{A1EF6E40-1022-F111-B2D8-FC777468C663}]" c="Gestión y Planificación"/>
        <s v="[Tareas].[Tareas].&amp;[{E4166D68-1022-F111-B2D8-FC777468C663}]" c="Núcleo jugable"/>
        <s v="[Tareas].[Tareas].&amp;[{9F63F4E7-1322-F111-B2D8-FC777468C663}]" c="Sistemas globales"/>
        <s v="[Tareas].[Tareas].&amp;[{82C6D3FB-1322-F111-B2D8-FC777468C663}]" c="Calidad"/>
        <s v="[Tareas].[Tareas].&amp;[{E9937805-1422-F111-B2D8-FC777468C663}]" c="Entrega y cierre"/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Tarea  2]" caption="Tarea  2" numFmtId="0" hierarchy="1" level="3" mappingCount="17">
      <sharedItems count="18">
        <s v="[Tareas].[Tareas].&amp;[{A1EF6E40-1022-F111-B2D8-FC777468C663}].DATAMEMBER" c="Gestión y Planificación"/>
        <s v="[Tareas].[Tareas].&amp;[{FF14C360-1022-F111-B2D8-FC777468C663}]" c="Documentación"/>
        <s v="[Tareas].[Tareas].&amp;[{E4166D68-1022-F111-B2D8-FC777468C663}].DATAMEMBER" c="Núcleo jugable"/>
        <s v="[Tareas].[Tareas].&amp;[{E2166D68-1022-F111-B2D8-FC777468C663}]" c="Sistema del jugador"/>
        <s v="[Tareas].[Tareas].&amp;[{4E25F2E4-1022-F111-B2D8-FC777468C663}]" c="Sistema de enemigos comunes"/>
        <s v="[Tareas].[Tareas].&amp;[{4C25F2E4-1022-F111-B2D8-FC777468C663}]" c="Sistema de mini-jefes adaptativo"/>
        <s v="[Tareas].[Tareas].&amp;[{4A25F2E4-1022-F111-B2D8-FC777468C663}]" c="Sistema jefes"/>
        <s v="[Tareas].[Tareas].&amp;[{4825F2E4-1022-F111-B2D8-FC777468C663}]" c="Sistema de niveles"/>
        <s v="[Tareas].[Tareas].&amp;[{9F63F4E7-1322-F111-B2D8-FC777468C663}].DATAMEMBER" c="Sistemas globales"/>
        <s v="[Tareas].[Tareas].&amp;[{25C39F10-1422-F111-B2D8-FC777468C663}]" c="Sistema de interfaz y menús"/>
        <s v="[Tareas].[Tareas].&amp;[{23C39F10-1422-F111-B2D8-FC777468C663}]" c="Sistema de guardado y progresión"/>
        <s v="[Tareas].[Tareas].&amp;[{21C39F10-1422-F111-B2D8-FC777468C663}]" c="Sistema de leaderboard y analíticas"/>
        <s v="[Tareas].[Tareas].&amp;[{1FC39F10-1422-F111-B2D8-FC777468C663}]" c="Sistema de audio"/>
        <s v="[Tareas].[Tareas].&amp;[{82C6D3FB-1322-F111-B2D8-FC777468C663}].DATAMEMBER" c="Calidad"/>
        <s v="[Tareas].[Tareas].&amp;[{66A9DB1F-1422-F111-B2D8-FC777468C663}]" c="Pruebas y validación"/>
        <s v="[Tareas].[Tareas].&amp;[{E9937805-1422-F111-B2D8-FC777468C663}].DATAMEMBER" c="Entrega y cierre"/>
        <s v="[Tareas].[Tareas].&amp;[{214DD525-1422-F111-B2D8-FC777468C663}]" c="Entrega de producto"/>
        <s v="[Tareas].[Tareas].&amp;[{68A9DB1F-1422-F111-B2D8-FC777468C663}]" c="Documentación de cierre"/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Tarea  3]" caption="Tarea  3" numFmtId="0" hierarchy="1" level="4">
      <sharedItems containsSemiMixedTypes="0" containsString="0"/>
    </cacheField>
    <cacheField name="[Tareas].[Tareas].[Tarea  4]" caption="Tarea  4" numFmtId="0" hierarchy="1" level="5">
      <sharedItems containsSemiMixedTypes="0" containsString="0"/>
    </cacheField>
    <cacheField name="[Tareas].[Tareas].[Comienzo]" caption="Comienzo" propertyName="Comienzo" numFmtId="0" hierarchy="1" level="32767" memberPropertyField="1">
      <sharedItems count="10">
        <s v="lun 02/02/26"/>
        <s v="jue 26/02/26"/>
        <s v="vie 27/02/26"/>
        <s v="mié 25/03/26"/>
        <s v="lun 23/03/26"/>
        <s v="mié 04/03/26"/>
        <s v="lun 13/04/26"/>
        <s v="mié 13/05/26"/>
        <s v="jue 14/05/26"/>
        <s v="vie 15/05/26"/>
      </sharedItems>
    </cacheField>
    <cacheField name="[Tareas].[Tareas].[Comienzo previsto]" caption="Comienzo previsto" propertyName="Comienzo previsto" numFmtId="0" hierarchy="1" level="32767" memberPropertyField="1">
      <sharedItems count="11">
        <s v="dom 01/02/26"/>
        <s v="lun 02/02/26"/>
        <s v="jue 26/02/26"/>
        <s v="vie 27/02/26"/>
        <s v="mié 25/03/26"/>
        <s v="lun 23/03/26"/>
        <s v="mié 04/03/26"/>
        <s v="lun 13/04/26"/>
        <s v="mié 13/05/26"/>
        <s v="jue 14/05/26"/>
        <s v="vie 15/05/26"/>
      </sharedItems>
    </cacheField>
    <cacheField name="[Tareas].[Tareas].[Costo de línea base]" caption="Costo de línea base" propertyName="Costo de línea base" numFmtId="0" hierarchy="1" level="32767" memberPropertyField="1">
      <sharedItems count="1">
        <s v="0"/>
      </sharedItems>
    </cacheField>
    <cacheField name="[Tareas].[Tareas].[Duración]" caption="Duración" propertyName="Duración" numFmtId="0" hierarchy="1" level="32767" memberPropertyField="1">
      <sharedItems count="15">
        <s v="78 días"/>
        <s v="77 días"/>
        <s v="47,5 días"/>
        <s v="41,75 días"/>
        <s v="43,25 días"/>
        <s v="25,5 días"/>
        <s v="29,25 días"/>
        <s v="43,5 días"/>
        <s v="26 días"/>
        <s v="19,75 días"/>
        <s v="3,5 días"/>
        <s v="3 días"/>
        <s v="1,25 días"/>
        <s v="74 días"/>
        <s v="0,75 días"/>
      </sharedItems>
    </cacheField>
    <cacheField name="[Tareas].[Tareas].[Duración prevista]" caption="Duración prevista" propertyName="Duración prevista" numFmtId="0" hierarchy="1" level="32767" memberPropertyField="1">
      <sharedItems count="16">
        <s v="78 días?"/>
        <s v="77 días"/>
        <s v="47,5 días"/>
        <s v="41,75 días"/>
        <s v="43,25 días"/>
        <s v="25,5 días"/>
        <s v="29,25 días"/>
        <s v="43,5 días"/>
        <s v="26 días"/>
        <s v="19,75 días"/>
        <s v="3,5 días"/>
        <s v="3 días"/>
        <s v="1,25 días"/>
        <s v="74 días"/>
        <s v="78 días"/>
        <s v="0,75 días"/>
      </sharedItems>
    </cacheField>
    <cacheField name="[Tareas].[Tareas].[EDT]" caption="EDT" propertyName="EDT" numFmtId="0" hierarchy="1" level="32767" memberPropertyField="1">
      <sharedItems count="19">
        <s v="0"/>
        <s v="1"/>
        <s v="1.1"/>
        <s v="2"/>
        <s v="2.1"/>
        <s v="2.2"/>
        <s v="2.3"/>
        <s v="2.4"/>
        <s v="2.5"/>
        <s v="3"/>
        <s v="3.1"/>
        <s v="3.2"/>
        <s v="3.3"/>
        <s v="3.4"/>
        <s v="4"/>
        <s v="4.1"/>
        <s v="5"/>
        <s v="5.1"/>
        <s v="5.2"/>
      </sharedItems>
    </cacheField>
    <cacheField name="[Tareas].[Tareas].[Fecha de restricción]" caption="Fecha de restricción" propertyName="Fecha de restricción" numFmtId="0" hierarchy="1" level="32767" memberPropertyField="1">
      <sharedItems count="1">
        <s v=""/>
      </sharedItems>
    </cacheField>
    <cacheField name="[Tareas].[Tareas].[Fin]" caption="Fin" propertyName="Fin" numFmtId="0" hierarchy="1" level="32767" memberPropertyField="1">
      <sharedItems count="10">
        <s v="mié 20/05/26"/>
        <s v="mar 19/05/26"/>
        <s v="lun 04/05/26"/>
        <s v="lun 27/04/26"/>
        <s v="mié 29/04/26"/>
        <s v="jue 30/04/26"/>
        <s v="vie 01/05/26"/>
        <s v="vie 08/05/26"/>
        <s v="vie 15/05/26"/>
        <s v="jue 14/05/26"/>
      </sharedItems>
    </cacheField>
    <cacheField name="[Tareas].[Tareas].[Fin previsto]" caption="Fin previsto" propertyName="Fin previsto" numFmtId="0" hierarchy="1" level="32767" memberPropertyField="1">
      <sharedItems count="10">
        <s v="mié 20/05/26"/>
        <s v="mar 19/05/26"/>
        <s v="lun 04/05/26"/>
        <s v="lun 27/04/26"/>
        <s v="mié 29/04/26"/>
        <s v="jue 30/04/26"/>
        <s v="vie 01/05/26"/>
        <s v="vie 08/05/26"/>
        <s v="vie 15/05/26"/>
        <s v="jue 14/05/26"/>
      </sharedItems>
    </cacheField>
    <cacheField name="[Tareas].[Tareas].[Holgura libre]" caption="Holgura libre" propertyName="Holgura libre" numFmtId="0" hierarchy="1" level="32767" memberPropertyField="1">
      <sharedItems count="6">
        <s v="0"/>
        <s v="1"/>
        <s v="12"/>
        <s v="13"/>
        <s v="8"/>
        <s v="4"/>
      </sharedItems>
    </cacheField>
    <cacheField name="[Tareas].[Tareas].[Holgura total]" caption="Holgura total" propertyName="Holgura total" numFmtId="0" hierarchy="1" level="32767" memberPropertyField="1">
      <sharedItems count="9">
        <s v="0"/>
        <s v="0.625"/>
        <s v="12"/>
        <s v="17.75"/>
        <s v="14.750000000000002"/>
        <s v="13.5"/>
        <s v="1.7500000000000002"/>
        <s v="8"/>
        <s v="3.5000000000000004"/>
      </sharedItems>
    </cacheField>
    <cacheField name="[Tareas].[Tareas].[Porcentaje físico completado]" caption="Porcentaje físico completado" propertyName="Porcentaje físico completado" numFmtId="0" hierarchy="1" level="32767" memberPropertyField="1">
      <sharedItems count="1">
        <s v="0"/>
      </sharedItems>
    </cacheField>
    <cacheField name="[Tareas].[Tareas].[Prioridad]" caption="Prioridad" propertyName="Prioridad" numFmtId="0" hierarchy="1" level="32767" memberPropertyField="1">
      <sharedItems count="1">
        <s v="500"/>
      </sharedItems>
    </cacheField>
    <cacheField name="[Tareas].[Tareas].[Retraso por redist]" caption="Retraso por redist" propertyName="Retraso por redist" numFmtId="0" hierarchy="1" level="32767" memberPropertyField="1">
      <sharedItems count="1">
        <s v="0"/>
      </sharedItems>
    </cacheField>
    <cacheField name="[Tareas].[Tareas].[Tareas]" caption="Tareas" propertyName="Tareas" numFmtId="0" hierarchy="1" level="32767" memberPropertyField="1">
      <sharedItems containsBlank="1" count="7">
        <m/>
        <s v="Rise Of The Lost Colors"/>
        <s v="Gestión y Planificación"/>
        <s v="Núcleo jugable"/>
        <s v="Sistemas globales"/>
        <s v="Calidad"/>
        <s v="Entrega y cierre"/>
      </sharedItems>
    </cacheField>
    <cacheField name="[Tareas].[Tareas].[TaskID]" caption="TaskID" propertyName="TaskID" numFmtId="0" hierarchy="1" level="32767" memberPropertyField="1">
      <sharedItems count="19">
        <s v="0"/>
        <s v="1"/>
        <s v="2"/>
        <s v="43"/>
        <s v="44"/>
        <s v="76"/>
        <s v="99"/>
        <s v="114"/>
        <s v="134"/>
        <s v="175"/>
        <s v="176"/>
        <s v="197"/>
        <s v="208"/>
        <s v="220"/>
        <s v="246"/>
        <s v="247"/>
        <s v="264"/>
        <s v="265"/>
        <s v="270"/>
      </sharedItems>
    </cacheField>
    <cacheField name="[Tareas].[Tareas].[Trabajo previsto]" caption="Trabajo previsto" propertyName="Trabajo previsto" numFmtId="0" hierarchy="1" level="32767" memberPropertyField="1">
      <sharedItems count="1">
        <s v="0"/>
      </sharedItems>
    </cacheField>
  </cacheFields>
  <cacheHierarchies count="40">
    <cacheHierarchy uniqueName="[Hora].[Semanal]" caption="Semanal" time="1" defaultMemberUniqueName="[Hora].[Semanal].[Todos]" allUniqueName="[Hora].[Semanal].[Todos]" dimensionUniqueName="[Hora]" displayFolder="" count="4" unbalanced="0">
      <fieldsUsage count="4">
        <fieldUsage x="-1"/>
        <fieldUsage x="2"/>
        <fieldUsage x="3"/>
        <fieldUsage x="4"/>
      </fieldsUsage>
    </cacheHierarchy>
    <cacheHierarchy uniqueName="[Tareas].[Tareas]" caption="Tareas" defaultMemberUniqueName="[Tareas].[Tareas].[Todos]" allUniqueName="[Tareas].[Tareas].[Todos]" dimensionUniqueName="[Tareas]" displayFolder="" count="6" unbalanced="1">
      <fieldsUsage count="6">
        <fieldUsage x="-1"/>
        <fieldUsage x="5"/>
        <fieldUsage x="6"/>
        <fieldUsage x="7"/>
        <fieldUsage x="8"/>
        <fieldUsage x="9"/>
      </fieldsUsage>
    </cacheHierarchy>
    <cacheHierarchy uniqueName="[Hora].[TIME_ID]" caption="TIME_ID" attribute="1" time="1" defaultMemberUniqueName="[Hora].[TIME_ID].[Todos]" allUniqueName="[Hora].[TIME_ID].[Todos]" dimensionUniqueName="[Hora]" displayFolder="" count="0" unbalanced="0" hidden="1"/>
    <cacheHierarchy uniqueName="[Hora].[TimeByDay]" caption="TimeByDay" attribute="1" time="1" keyAttribute="1" defaultMemberUniqueName="[Hora].[TimeByDay].[Todos]" allUniqueName="[Hora].[TimeByDay].[Todos]" dimensionUniqueName="[Hora]" displayFolder="" count="0" memberValueDatatype="130" unbalanced="0" hidden="1"/>
    <cacheHierarchy uniqueName="[Hora].[TimeNumericalWeekOfTheYear]" caption="TimeNumericalWeekOfTheYear" attribute="1" time="1" defaultMemberUniqueName="[Hora].[TimeNumericalWeekOfTheYear].[Todos]" allUniqueName="[Hora].[TimeNumericalWeekOfTheYear].[Todos]" dimensionUniqueName="[Hora]" displayFolder="" count="0" unbalanced="0" hidden="1"/>
    <cacheHierarchy uniqueName="[Hora].[TimeQuarter]" caption="TimeQuarter" attribute="1" time="1" defaultMemberUniqueName="[Hora].[TimeQuarter].[Todos]" allUniqueName="[Hora].[TimeQuarter].[Todos]" dimensionUniqueName="[Hora]" displayFolder="" count="0" unbalanced="0" hidden="1"/>
    <cacheHierarchy uniqueName="[Hora].[TimeYear]" caption="TimeYear" attribute="1" time="1" defaultMemberUniqueName="[Hora].[TimeYear].[Todos]" allUniqueName="[Hora].[TimeYear].[Todos]" dimensionUniqueName="[Hora]" displayFolder="" count="0" unbalanced="0" hidden="1"/>
    <cacheHierarchy uniqueName="[Tareas].[Comienzo]" caption="Comienzo" attribute="1" defaultMemberUniqueName="[Tareas].[Comienzo].[Todos]" allUniqueName="[Tareas].[Comienzo].[Todos]" dimensionUniqueName="[Tareas]" displayFolder="" count="0" unbalanced="0" hidden="1"/>
    <cacheHierarchy uniqueName="[Tareas].[Comienzo previsto]" caption="Comienzo previsto" attribute="1" defaultMemberUniqueName="[Tareas].[Comienzo previsto].[Todos]" allUniqueName="[Tareas].[Comienzo previsto].[Todos]" dimensionUniqueName="[Tareas]" displayFolder="" count="0" unbalanced="0" hidden="1"/>
    <cacheHierarchy uniqueName="[Tareas].[Costo de línea base]" caption="Costo de línea base" attribute="1" defaultMemberUniqueName="[Tareas].[Costo de línea base].[Todos]" allUniqueName="[Tareas].[Costo de línea base].[Todos]" dimensionUniqueName="[Tareas]" displayFolder="" count="0" unbalanced="0" hidden="1"/>
    <cacheHierarchy uniqueName="[Tareas].[Duración]" caption="Duración" attribute="1" defaultMemberUniqueName="[Tareas].[Duración].[Todos]" allUniqueName="[Tareas].[Duración].[Todos]" dimensionUniqueName="[Tareas]" displayFolder="" count="0" unbalanced="0" hidden="1"/>
    <cacheHierarchy uniqueName="[Tareas].[Duración prevista]" caption="Duración prevista" attribute="1" defaultMemberUniqueName="[Tareas].[Duración prevista].[Todos]" allUniqueName="[Tareas].[Duración prevista].[Todos]" dimensionUniqueName="[Tareas]" displayFolder="" count="0" unbalanced="0" hidden="1"/>
    <cacheHierarchy uniqueName="[Tareas].[EDT]" caption="EDT" attribute="1" defaultMemberUniqueName="[Tareas].[EDT].[Todos]" allUniqueName="[Tareas].[EDT].[Todos]" dimensionUniqueName="[Tareas]" displayFolder="" count="0" unbalanced="0" hidden="1"/>
    <cacheHierarchy uniqueName="[Tareas].[Fecha de restricción]" caption="Fecha de restricción" attribute="1" defaultMemberUniqueName="[Tareas].[Fecha de restricción].[Todos]" allUniqueName="[Tareas].[Fecha de restricción].[Todos]" dimensionUniqueName="[Tareas]" displayFolder="" count="0" unbalanced="0" hidden="1"/>
    <cacheHierarchy uniqueName="[Tareas].[Fin]" caption="Fin" attribute="1" defaultMemberUniqueName="[Tareas].[Fin].[Todos]" allUniqueName="[Tareas].[Fin].[Todos]" dimensionUniqueName="[Tareas]" displayFolder="" count="0" unbalanced="0" hidden="1"/>
    <cacheHierarchy uniqueName="[Tareas].[Fin previsto]" caption="Fin previsto" attribute="1" defaultMemberUniqueName="[Tareas].[Fin previsto].[Todos]" allUniqueName="[Tareas].[Fin previsto].[Todos]" dimensionUniqueName="[Tareas]" displayFolder="" count="0" unbalanced="0" hidden="1"/>
    <cacheHierarchy uniqueName="[Tareas].[Holgura libre]" caption="Holgura libre" attribute="1" defaultMemberUniqueName="[Tareas].[Holgura libre].[Todos]" allUniqueName="[Tareas].[Holgura libre].[Todos]" dimensionUniqueName="[Tareas]" displayFolder="" count="0" unbalanced="0" hidden="1"/>
    <cacheHierarchy uniqueName="[Tareas].[Holgura total]" caption="Holgura total" attribute="1" defaultMemberUniqueName="[Tareas].[Holgura total].[Todos]" allUniqueName="[Tareas].[Holgura total].[Todos]" dimensionUniqueName="[Tareas]" displayFolder="" count="0" unbalanced="0" hidden="1"/>
    <cacheHierarchy uniqueName="[Tareas].[Porcentaje físico completado]" caption="Porcentaje físico completado" attribute="1" defaultMemberUniqueName="[Tareas].[Porcentaje físico completado].[Todos]" allUniqueName="[Tareas].[Porcentaje físico completado].[Todos]" dimensionUniqueName="[Tareas]" displayFolder="" count="0" unbalanced="0" hidden="1"/>
    <cacheHierarchy uniqueName="[Tareas].[Prioridad]" caption="Prioridad" attribute="1" defaultMemberUniqueName="[Tareas].[Prioridad].[Todos]" allUniqueName="[Tareas].[Prioridad].[Todos]" dimensionUniqueName="[Tareas]" displayFolder="" count="0" unbalanced="0" hidden="1"/>
    <cacheHierarchy uniqueName="[Tareas].[Retraso por redist]" caption="Retraso por redist" attribute="1" defaultMemberUniqueName="[Tareas].[Retraso por redist].[Todos]" allUniqueName="[Tareas].[Retraso por redist].[Todos]" dimensionUniqueName="[Tareas]" displayFolder="" count="0" unbalanced="0" hidden="1"/>
    <cacheHierarchy uniqueName="[Tareas].[TaskID]" caption="TaskID" attribute="1" defaultMemberUniqueName="[Tareas].[TaskID].[Todos]" allUniqueName="[Tareas].[TaskID].[Todos]" dimensionUniqueName="[Tareas]" displayFolder="" count="0" unbalanced="0" hidden="1"/>
    <cacheHierarchy uniqueName="[Tareas].[TaskUID]" caption="TaskUID" attribute="1" keyAttribute="1" defaultMemberUniqueName="[Tareas].[TaskUID].[Todos]" allUniqueName="[Tareas].[TaskUID].[Todos]" dimensionUniqueName="[Tareas]" displayFolder="" count="0" unbalanced="0" hidden="1"/>
    <cacheHierarchy uniqueName="[Tareas].[Trabajo previsto]" caption="Trabajo previsto" attribute="1" defaultMemberUniqueName="[Tareas].[Trabajo previsto].[Todos]" allUniqueName="[Tareas].[Trabajo previsto].[Todos]" dimensionUniqueName="[Tareas]" displayFolder="" count="0" unbalanced="0" hidden="1"/>
    <cacheHierarchy uniqueName="[Measures].[Costo real]" caption="Costo real" measure="1" displayFolder="" measureGroup="Valores" count="0"/>
    <cacheHierarchy uniqueName="[Measures].[Trab_real de horas extra]" caption="Trab_real de horas extra" measure="1" displayFolder="" measureGroup="Valores" count="0"/>
    <cacheHierarchy uniqueName="[Measures].[Trabajo real]" caption="Trabajo real" measure="1" displayFolder="" measureGroup="Valores" count="0"/>
    <cacheHierarchy uniqueName="[Measures].[Costo presup_previsto]" caption="Costo presup_previsto" measure="1" displayFolder="" measureGroup="Valores" count="0"/>
    <cacheHierarchy uniqueName="[Measures].[Trabajo presupuestado de línea base]" caption="Trabajo presupuestado de línea base" measure="1" displayFolder="" measureGroup="Valores" count="0"/>
    <cacheHierarchy uniqueName="[Measures].[Costo presupuestado]" caption="Costo presupuestado" measure="1" displayFolder="" measureGroup="Valores" count="0"/>
    <cacheHierarchy uniqueName="[Measures].[Trabajo presupuestado]" caption="Trabajo presupuestado" measure="1" displayFolder="" measureGroup="Valores" count="0"/>
    <cacheHierarchy uniqueName="[Measures].[Costo]" caption="Costo" measure="1" displayFolder="" measureGroup="Valores" count="0" oneField="1">
      <fieldsUsage count="1">
        <fieldUsage x="0"/>
      </fieldsUsage>
    </cacheHierarchy>
    <cacheHierarchy uniqueName="[Measures].[Costo fijo]" caption="Costo fijo" measure="1" displayFolder="" measureGroup="Valores" count="0"/>
    <cacheHierarchy uniqueName="[Measures].[Trabajo de horas extra]" caption="Trabajo de horas extra" measure="1" displayFolder="" measureGroup="Valores" count="0"/>
    <cacheHierarchy uniqueName="[Measures].[Trabajo normal]" caption="Trabajo normal" measure="1" displayFolder="" measureGroup="Valores" count="0"/>
    <cacheHierarchy uniqueName="[Measures].[Trabajo]" caption="Trabajo" measure="1" displayFolder="" measureGroup="Valores" count="0"/>
    <cacheHierarchy uniqueName="[Measures].[Costo acumulado]" caption="Costo acumulado" measure="1" displayFolder="" count="0" oneField="1">
      <fieldsUsage count="1">
        <fieldUsage x="1"/>
      </fieldsUsage>
    </cacheHierarchy>
    <cacheHierarchy uniqueName="[Measures].[Trabajo acumulado]" caption="Trabajo acumulado" measure="1" displayFolder="" count="0"/>
    <cacheHierarchy uniqueName="[Measures].[_ADRCUMULCOST]" caption="_ADRCUMULCOST" measure="1" displayFolder="" measureGroup="Valores" count="0" hidden="1"/>
    <cacheHierarchy uniqueName="[Measures].[_ADRCUMULWORK]" caption="_ADRCUMULWORK" measure="1" displayFolder="" measureGroup="Valores" count="0" hidden="1"/>
  </cacheHierarchies>
  <kpis count="0"/>
  <dimensions count="3">
    <dimension name="Hora" uniqueName="[Hora]" caption="Hora"/>
    <dimension measure="1" name="Measures" uniqueName="[Measures]" caption="Measures"/>
    <dimension name="Tareas" uniqueName="[Tareas]" caption="Tareas"/>
  </dimensions>
  <measureGroups count="1">
    <measureGroup name="Valores" caption="Valores"/>
  </measureGroups>
  <maps count="2">
    <map measureGroup="0" dimension="0"/>
    <map measureGroup="0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F3B116-0766-4530-891D-F085A583B123}" name="Report" cacheId="44" dataOnRows="1" applyNumberFormats="0" applyBorderFormats="0" applyFontFormats="0" applyPatternFormats="0" applyAlignmentFormats="0" applyWidthHeightFormats="1" dataCaption="Datos" updatedVersion="8" minRefreshableVersion="3" useAutoFormatting="1" itemPrintTitles="1" createdVersion="8" indent="0" compact="0" compactData="0" gridDropZones="1" fieldListSortAscending="1">
  <location ref="A1:U44" firstHeaderRow="1" firstDataRow="4" firstDataCol="4"/>
  <pivotFields count="27">
    <pivotField dataField="1" compact="0" outline="0" subtotalTop="0" showAll="0" defaultSubtotal="0"/>
    <pivotField dataField="1" compact="0" outline="0" subtotalTop="0" showAll="0" defaultSubtotal="0"/>
    <pivotField axis="axisCol" compact="0" allDrilled="1" outline="0" subtotalTop="0" showAll="0" dataSourceSort="1" defaultSubtotal="0">
      <items count="1">
        <item c="1" x="0" d="1"/>
      </items>
    </pivotField>
    <pivotField axis="axisCol" compact="0" outline="0" subtotalTop="0" showAll="0" dataSourceSort="1" defaultSubtotal="0">
      <items count="2">
        <item c="1" x="0" d="1"/>
        <item c="1" x="1" d="1"/>
      </items>
    </pivotField>
    <pivotField axis="axisCol" compact="0" outline="0" subtotalTop="0" showAll="0" dataSourceSort="1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compact="0" allDrilled="1" outline="0" subtotalTop="0" showAll="0" dataSourceSort="1" defaultSubtotal="0">
      <items count="1">
        <item c="1" x="0" d="1"/>
      </items>
    </pivotField>
    <pivotField axis="axisRow" compact="0" outline="0" subtotalTop="0" showAll="0" dataSourceSort="1" defaultSubtotal="0">
      <items count="6">
        <item x="0"/>
        <item c="1" x="1" d="1"/>
        <item c="1" x="2" d="1"/>
        <item c="1" x="3" d="1"/>
        <item c="1" x="4" d="1"/>
        <item c="1" x="5" d="1"/>
      </items>
    </pivotField>
    <pivotField axis="axisRow" compact="0" outline="0" subtotalTop="0" showAll="0" dataSourceSort="1" defaultSubtotal="0">
      <items count="18">
        <item x="0"/>
        <item c="1" x="1"/>
        <item x="2"/>
        <item c="1" x="3"/>
        <item c="1" x="4"/>
        <item c="1" x="5"/>
        <item c="1" x="6"/>
        <item c="1" x="7"/>
        <item x="8"/>
        <item c="1" x="9"/>
        <item c="1" x="10"/>
        <item c="1" x="11"/>
        <item c="1" x="12"/>
        <item x="13"/>
        <item c="1" x="14"/>
        <item x="15"/>
        <item c="1" x="16"/>
        <item c="1" x="17"/>
      </items>
    </pivotField>
    <pivotField axis="axisRow" compact="0" outline="0" subtotalTop="0" showAll="0" dataSourceSort="1" defaultSubtotal="0"/>
    <pivotField axis="axisRow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4">
    <field x="-2"/>
    <field x="5"/>
    <field x="6"/>
    <field x="7"/>
  </rowFields>
  <rowItems count="40">
    <i>
      <x/>
      <x/>
      <x/>
    </i>
    <i r="2">
      <x v="1"/>
      <x/>
    </i>
    <i r="3">
      <x v="1"/>
    </i>
    <i r="2">
      <x v="2"/>
      <x v="2"/>
    </i>
    <i r="3">
      <x v="3"/>
    </i>
    <i r="3">
      <x v="4"/>
    </i>
    <i r="3">
      <x v="5"/>
    </i>
    <i r="3">
      <x v="6"/>
    </i>
    <i r="3">
      <x v="7"/>
    </i>
    <i r="2">
      <x v="3"/>
      <x v="8"/>
    </i>
    <i r="3">
      <x v="9"/>
    </i>
    <i r="3">
      <x v="10"/>
    </i>
    <i r="3">
      <x v="11"/>
    </i>
    <i r="3">
      <x v="12"/>
    </i>
    <i r="2">
      <x v="4"/>
      <x v="13"/>
    </i>
    <i r="3">
      <x v="14"/>
    </i>
    <i r="2">
      <x v="5"/>
      <x v="15"/>
    </i>
    <i r="3">
      <x v="16"/>
    </i>
    <i r="3">
      <x v="17"/>
    </i>
    <i i="1">
      <x v="1"/>
      <x/>
      <x/>
    </i>
    <i r="2" i="1">
      <x v="1"/>
      <x/>
    </i>
    <i r="3" i="1">
      <x v="1"/>
    </i>
    <i r="2" i="1">
      <x v="2"/>
      <x v="2"/>
    </i>
    <i r="3" i="1">
      <x v="3"/>
    </i>
    <i r="3" i="1">
      <x v="4"/>
    </i>
    <i r="3" i="1">
      <x v="5"/>
    </i>
    <i r="3" i="1">
      <x v="6"/>
    </i>
    <i r="3" i="1">
      <x v="7"/>
    </i>
    <i r="2" i="1">
      <x v="3"/>
      <x v="8"/>
    </i>
    <i r="3" i="1">
      <x v="9"/>
    </i>
    <i r="3" i="1">
      <x v="10"/>
    </i>
    <i r="3" i="1">
      <x v="11"/>
    </i>
    <i r="3" i="1">
      <x v="12"/>
    </i>
    <i r="2" i="1">
      <x v="4"/>
      <x v="13"/>
    </i>
    <i r="3" i="1">
      <x v="14"/>
    </i>
    <i r="2" i="1">
      <x v="5"/>
      <x v="15"/>
    </i>
    <i r="3" i="1">
      <x v="16"/>
    </i>
    <i r="3" i="1">
      <x v="17"/>
    </i>
    <i t="grand">
      <x/>
    </i>
    <i t="grand" i="1">
      <x v="1"/>
    </i>
  </rowItems>
  <colFields count="3">
    <field x="2"/>
    <field x="3"/>
    <field x="4"/>
  </colFields>
  <colItems count="17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1">
      <x v="1"/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t="grand">
      <x/>
    </i>
  </colItems>
  <dataFields count="2">
    <dataField fld="0" baseField="0" baseItem="0"/>
    <dataField fld="1" baseField="0" baseItem="0"/>
  </dataFields>
  <pivotHierarchies count="40">
    <pivotHierarchy includeNewItemsInFilter="1"/>
    <pivotHierarchy includeNewItemsInFilter="1">
      <mps count="17">
        <mp field="10"/>
        <mp field="11"/>
        <mp field="12"/>
        <mp field="13"/>
        <mp field="14"/>
        <mp field="15"/>
        <mp field="16"/>
        <mp field="17"/>
        <mp field="18"/>
        <mp field="19"/>
        <mp field="20"/>
        <mp field="21"/>
        <mp field="22"/>
        <mp field="23"/>
        <mp field="24"/>
        <mp field="25"/>
        <mp field="26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2">
    <rowHierarchyUsage hierarchyUsage="-2"/>
    <rowHierarchyUsage hierarchyUsage="1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21354-33B8-45BC-96A6-2992F2B33095}">
  <dimension ref="A1:U44"/>
  <sheetViews>
    <sheetView tabSelected="1" workbookViewId="0">
      <selection activeCell="Z31" sqref="Z31"/>
    </sheetView>
  </sheetViews>
  <sheetFormatPr baseColWidth="10" defaultRowHeight="15" x14ac:dyDescent="0.25"/>
  <cols>
    <col min="1" max="1" width="16.7109375" bestFit="1" customWidth="1"/>
    <col min="2" max="2" width="22.85546875" bestFit="1" customWidth="1"/>
    <col min="3" max="3" width="23.28515625" bestFit="1" customWidth="1"/>
    <col min="4" max="4" width="34.85546875" bestFit="1" customWidth="1"/>
    <col min="5" max="20" width="11.5703125" bestFit="1" customWidth="1"/>
    <col min="21" max="21" width="12.42578125" bestFit="1" customWidth="1"/>
  </cols>
  <sheetData>
    <row r="1" spans="1:21" x14ac:dyDescent="0.25">
      <c r="A1" s="1"/>
      <c r="B1" s="2"/>
      <c r="C1" s="2"/>
      <c r="D1" s="2"/>
      <c r="E1" s="6" t="s">
        <v>3</v>
      </c>
      <c r="F1" s="17" t="s">
        <v>16</v>
      </c>
      <c r="G1" s="17" t="s">
        <v>19</v>
      </c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spans="1:21" x14ac:dyDescent="0.25">
      <c r="A2" s="4"/>
      <c r="B2" s="5"/>
      <c r="C2" s="5"/>
      <c r="D2" s="5"/>
      <c r="E2" s="1" t="s">
        <v>4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7" t="s">
        <v>5</v>
      </c>
    </row>
    <row r="3" spans="1:21" x14ac:dyDescent="0.25">
      <c r="A3" s="4"/>
      <c r="B3" s="5"/>
      <c r="C3" s="5"/>
      <c r="D3" s="5"/>
      <c r="E3" s="1" t="s">
        <v>17</v>
      </c>
      <c r="F3" s="2"/>
      <c r="G3" s="2"/>
      <c r="H3" s="2"/>
      <c r="I3" s="2"/>
      <c r="J3" s="2"/>
      <c r="K3" s="2"/>
      <c r="L3" s="2"/>
      <c r="M3" s="2"/>
      <c r="N3" s="1" t="s">
        <v>18</v>
      </c>
      <c r="O3" s="2"/>
      <c r="P3" s="2"/>
      <c r="Q3" s="2"/>
      <c r="R3" s="2"/>
      <c r="S3" s="2"/>
      <c r="T3" s="2"/>
      <c r="U3" s="19"/>
    </row>
    <row r="4" spans="1:21" x14ac:dyDescent="0.25">
      <c r="A4" s="6" t="s">
        <v>1</v>
      </c>
      <c r="B4" s="6" t="s">
        <v>6</v>
      </c>
      <c r="C4" s="6" t="s">
        <v>10</v>
      </c>
      <c r="D4" s="6" t="s">
        <v>36</v>
      </c>
      <c r="E4" s="1" t="s">
        <v>20</v>
      </c>
      <c r="F4" s="18" t="s">
        <v>21</v>
      </c>
      <c r="G4" s="18" t="s">
        <v>22</v>
      </c>
      <c r="H4" s="18" t="s">
        <v>23</v>
      </c>
      <c r="I4" s="18" t="s">
        <v>24</v>
      </c>
      <c r="J4" s="18" t="s">
        <v>25</v>
      </c>
      <c r="K4" s="18" t="s">
        <v>26</v>
      </c>
      <c r="L4" s="18" t="s">
        <v>27</v>
      </c>
      <c r="M4" s="18" t="s">
        <v>28</v>
      </c>
      <c r="N4" s="1" t="s">
        <v>29</v>
      </c>
      <c r="O4" s="18" t="s">
        <v>30</v>
      </c>
      <c r="P4" s="18" t="s">
        <v>31</v>
      </c>
      <c r="Q4" s="18" t="s">
        <v>32</v>
      </c>
      <c r="R4" s="18" t="s">
        <v>33</v>
      </c>
      <c r="S4" s="18" t="s">
        <v>34</v>
      </c>
      <c r="T4" s="18" t="s">
        <v>35</v>
      </c>
      <c r="U4" s="19"/>
    </row>
    <row r="5" spans="1:21" x14ac:dyDescent="0.25">
      <c r="A5" s="1" t="s">
        <v>0</v>
      </c>
      <c r="B5" s="1" t="s">
        <v>7</v>
      </c>
      <c r="C5" s="1" t="s">
        <v>7</v>
      </c>
      <c r="D5" s="2"/>
      <c r="E5" s="11">
        <v>0</v>
      </c>
      <c r="F5" s="20">
        <v>0</v>
      </c>
      <c r="G5" s="20">
        <v>0</v>
      </c>
      <c r="H5" s="20">
        <v>0</v>
      </c>
      <c r="I5" s="20">
        <v>0</v>
      </c>
      <c r="J5" s="20">
        <v>0</v>
      </c>
      <c r="K5" s="20">
        <v>0</v>
      </c>
      <c r="L5" s="20">
        <v>0</v>
      </c>
      <c r="M5" s="20">
        <v>0</v>
      </c>
      <c r="N5" s="11">
        <v>0</v>
      </c>
      <c r="O5" s="20">
        <v>0</v>
      </c>
      <c r="P5" s="20">
        <v>0</v>
      </c>
      <c r="Q5" s="20">
        <v>0</v>
      </c>
      <c r="R5" s="20">
        <v>0</v>
      </c>
      <c r="S5" s="20">
        <v>0</v>
      </c>
      <c r="T5" s="20">
        <v>0</v>
      </c>
      <c r="U5" s="10">
        <v>0</v>
      </c>
    </row>
    <row r="6" spans="1:21" x14ac:dyDescent="0.25">
      <c r="A6" s="4"/>
      <c r="B6" s="4"/>
      <c r="C6" s="1" t="s">
        <v>11</v>
      </c>
      <c r="D6" s="1" t="s">
        <v>11</v>
      </c>
      <c r="E6" s="11">
        <v>0</v>
      </c>
      <c r="F6" s="20">
        <v>0</v>
      </c>
      <c r="G6" s="20">
        <v>0</v>
      </c>
      <c r="H6" s="20">
        <v>0</v>
      </c>
      <c r="I6" s="20">
        <v>0</v>
      </c>
      <c r="J6" s="20">
        <v>0</v>
      </c>
      <c r="K6" s="20">
        <v>0</v>
      </c>
      <c r="L6" s="20">
        <v>0</v>
      </c>
      <c r="M6" s="20">
        <v>0</v>
      </c>
      <c r="N6" s="11">
        <v>0</v>
      </c>
      <c r="O6" s="20">
        <v>0</v>
      </c>
      <c r="P6" s="20">
        <v>0</v>
      </c>
      <c r="Q6" s="20">
        <v>0</v>
      </c>
      <c r="R6" s="20">
        <v>0</v>
      </c>
      <c r="S6" s="20">
        <v>0</v>
      </c>
      <c r="T6" s="20">
        <v>0</v>
      </c>
      <c r="U6" s="10">
        <v>0</v>
      </c>
    </row>
    <row r="7" spans="1:21" x14ac:dyDescent="0.25">
      <c r="A7" s="4"/>
      <c r="B7" s="4"/>
      <c r="C7" s="4"/>
      <c r="D7" s="14" t="s">
        <v>37</v>
      </c>
      <c r="E7" s="15">
        <v>2784</v>
      </c>
      <c r="F7" s="21">
        <v>600</v>
      </c>
      <c r="G7" s="21">
        <v>600</v>
      </c>
      <c r="H7" s="21">
        <v>420</v>
      </c>
      <c r="I7" s="21">
        <v>0</v>
      </c>
      <c r="J7" s="21">
        <v>0</v>
      </c>
      <c r="K7" s="21">
        <v>0</v>
      </c>
      <c r="L7" s="21">
        <v>158.5</v>
      </c>
      <c r="M7" s="21">
        <v>0</v>
      </c>
      <c r="N7" s="15">
        <v>0</v>
      </c>
      <c r="O7" s="21">
        <v>158.5</v>
      </c>
      <c r="P7" s="21">
        <v>0</v>
      </c>
      <c r="Q7" s="21">
        <v>0</v>
      </c>
      <c r="R7" s="21">
        <v>158.5</v>
      </c>
      <c r="S7" s="21">
        <v>0</v>
      </c>
      <c r="T7" s="21">
        <v>158.5</v>
      </c>
      <c r="U7" s="16">
        <v>5038</v>
      </c>
    </row>
    <row r="8" spans="1:21" x14ac:dyDescent="0.25">
      <c r="A8" s="4"/>
      <c r="B8" s="4"/>
      <c r="C8" s="1" t="s">
        <v>12</v>
      </c>
      <c r="D8" s="1" t="s">
        <v>12</v>
      </c>
      <c r="E8" s="11">
        <v>0</v>
      </c>
      <c r="F8" s="20">
        <v>0</v>
      </c>
      <c r="G8" s="20">
        <v>0</v>
      </c>
      <c r="H8" s="20">
        <v>0</v>
      </c>
      <c r="I8" s="20">
        <v>0</v>
      </c>
      <c r="J8" s="20">
        <v>0</v>
      </c>
      <c r="K8" s="20">
        <v>0</v>
      </c>
      <c r="L8" s="20">
        <v>0</v>
      </c>
      <c r="M8" s="20">
        <v>0</v>
      </c>
      <c r="N8" s="11">
        <v>0</v>
      </c>
      <c r="O8" s="20">
        <v>0</v>
      </c>
      <c r="P8" s="20">
        <v>0</v>
      </c>
      <c r="Q8" s="20">
        <v>0</v>
      </c>
      <c r="R8" s="20">
        <v>0</v>
      </c>
      <c r="S8" s="20">
        <v>0</v>
      </c>
      <c r="T8" s="20">
        <v>0</v>
      </c>
      <c r="U8" s="10">
        <v>0</v>
      </c>
    </row>
    <row r="9" spans="1:21" x14ac:dyDescent="0.25">
      <c r="A9" s="4"/>
      <c r="B9" s="4"/>
      <c r="C9" s="4"/>
      <c r="D9" s="14" t="s">
        <v>38</v>
      </c>
      <c r="E9" s="15">
        <v>0</v>
      </c>
      <c r="F9" s="21">
        <v>0</v>
      </c>
      <c r="G9" s="21">
        <v>0</v>
      </c>
      <c r="H9" s="21">
        <v>150</v>
      </c>
      <c r="I9" s="21">
        <v>961</v>
      </c>
      <c r="J9" s="21">
        <v>672</v>
      </c>
      <c r="K9" s="21">
        <v>0</v>
      </c>
      <c r="L9" s="21">
        <v>0</v>
      </c>
      <c r="M9" s="21">
        <v>0</v>
      </c>
      <c r="N9" s="15">
        <v>0</v>
      </c>
      <c r="O9" s="21">
        <v>25</v>
      </c>
      <c r="P9" s="21">
        <v>700</v>
      </c>
      <c r="Q9" s="21">
        <v>25</v>
      </c>
      <c r="R9" s="21">
        <v>0</v>
      </c>
      <c r="S9" s="21">
        <v>0</v>
      </c>
      <c r="T9" s="21">
        <v>0</v>
      </c>
      <c r="U9" s="16">
        <v>2533</v>
      </c>
    </row>
    <row r="10" spans="1:21" x14ac:dyDescent="0.25">
      <c r="A10" s="4"/>
      <c r="B10" s="4"/>
      <c r="C10" s="4"/>
      <c r="D10" s="14" t="s">
        <v>39</v>
      </c>
      <c r="E10" s="15">
        <v>0</v>
      </c>
      <c r="F10" s="21">
        <v>0</v>
      </c>
      <c r="G10" s="21">
        <v>0</v>
      </c>
      <c r="H10" s="21">
        <v>75</v>
      </c>
      <c r="I10" s="21">
        <v>452</v>
      </c>
      <c r="J10" s="21">
        <v>420</v>
      </c>
      <c r="K10" s="21">
        <v>420</v>
      </c>
      <c r="L10" s="21">
        <v>84</v>
      </c>
      <c r="M10" s="21">
        <v>0</v>
      </c>
      <c r="N10" s="15">
        <v>0</v>
      </c>
      <c r="O10" s="21">
        <v>105</v>
      </c>
      <c r="P10" s="21">
        <v>300</v>
      </c>
      <c r="Q10" s="21">
        <v>450</v>
      </c>
      <c r="R10" s="21">
        <v>0</v>
      </c>
      <c r="S10" s="21">
        <v>0</v>
      </c>
      <c r="T10" s="21">
        <v>0</v>
      </c>
      <c r="U10" s="16">
        <v>2306</v>
      </c>
    </row>
    <row r="11" spans="1:21" x14ac:dyDescent="0.25">
      <c r="A11" s="4"/>
      <c r="B11" s="4"/>
      <c r="C11" s="4"/>
      <c r="D11" s="14" t="s">
        <v>40</v>
      </c>
      <c r="E11" s="15">
        <v>0</v>
      </c>
      <c r="F11" s="21">
        <v>0</v>
      </c>
      <c r="G11" s="21">
        <v>0</v>
      </c>
      <c r="H11" s="21">
        <v>0</v>
      </c>
      <c r="I11" s="21">
        <v>0</v>
      </c>
      <c r="J11" s="21">
        <v>0</v>
      </c>
      <c r="K11" s="21">
        <v>0</v>
      </c>
      <c r="L11" s="21">
        <v>276</v>
      </c>
      <c r="M11" s="21">
        <v>1092</v>
      </c>
      <c r="N11" s="15">
        <v>357</v>
      </c>
      <c r="O11" s="21">
        <v>0</v>
      </c>
      <c r="P11" s="21">
        <v>0</v>
      </c>
      <c r="Q11" s="21">
        <v>425</v>
      </c>
      <c r="R11" s="21">
        <v>0</v>
      </c>
      <c r="S11" s="21">
        <v>0</v>
      </c>
      <c r="T11" s="21">
        <v>0</v>
      </c>
      <c r="U11" s="16">
        <v>2150</v>
      </c>
    </row>
    <row r="12" spans="1:21" x14ac:dyDescent="0.25">
      <c r="A12" s="4"/>
      <c r="B12" s="4"/>
      <c r="C12" s="4"/>
      <c r="D12" s="14" t="s">
        <v>41</v>
      </c>
      <c r="E12" s="15">
        <v>0</v>
      </c>
      <c r="F12" s="21">
        <v>0</v>
      </c>
      <c r="G12" s="21">
        <v>0</v>
      </c>
      <c r="H12" s="21">
        <v>0</v>
      </c>
      <c r="I12" s="21">
        <v>0</v>
      </c>
      <c r="J12" s="21">
        <v>0</v>
      </c>
      <c r="K12" s="21">
        <v>0</v>
      </c>
      <c r="L12" s="21">
        <v>365</v>
      </c>
      <c r="M12" s="21">
        <v>176</v>
      </c>
      <c r="N12" s="15">
        <v>147</v>
      </c>
      <c r="O12" s="21">
        <v>302</v>
      </c>
      <c r="P12" s="21">
        <v>390</v>
      </c>
      <c r="Q12" s="21">
        <v>672</v>
      </c>
      <c r="R12" s="21">
        <v>0</v>
      </c>
      <c r="S12" s="21">
        <v>0</v>
      </c>
      <c r="T12" s="21">
        <v>0</v>
      </c>
      <c r="U12" s="16">
        <v>2052</v>
      </c>
    </row>
    <row r="13" spans="1:21" x14ac:dyDescent="0.25">
      <c r="A13" s="4"/>
      <c r="B13" s="4"/>
      <c r="C13" s="4"/>
      <c r="D13" s="14" t="s">
        <v>42</v>
      </c>
      <c r="E13" s="15">
        <v>0</v>
      </c>
      <c r="F13" s="21">
        <v>0</v>
      </c>
      <c r="G13" s="21">
        <v>0</v>
      </c>
      <c r="H13" s="21">
        <v>0</v>
      </c>
      <c r="I13" s="21">
        <v>226</v>
      </c>
      <c r="J13" s="21">
        <v>302</v>
      </c>
      <c r="K13" s="21">
        <v>0</v>
      </c>
      <c r="L13" s="21">
        <v>21</v>
      </c>
      <c r="M13" s="21">
        <v>0</v>
      </c>
      <c r="N13" s="15">
        <v>289</v>
      </c>
      <c r="O13" s="21">
        <v>721</v>
      </c>
      <c r="P13" s="21">
        <v>88</v>
      </c>
      <c r="Q13" s="21">
        <v>250</v>
      </c>
      <c r="R13" s="21">
        <v>500</v>
      </c>
      <c r="S13" s="21">
        <v>0</v>
      </c>
      <c r="T13" s="21">
        <v>0</v>
      </c>
      <c r="U13" s="16">
        <v>2397</v>
      </c>
    </row>
    <row r="14" spans="1:21" x14ac:dyDescent="0.25">
      <c r="A14" s="4"/>
      <c r="B14" s="4"/>
      <c r="C14" s="1" t="s">
        <v>13</v>
      </c>
      <c r="D14" s="1" t="s">
        <v>13</v>
      </c>
      <c r="E14" s="11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11">
        <v>0</v>
      </c>
      <c r="O14" s="20">
        <v>0</v>
      </c>
      <c r="P14" s="20">
        <v>0</v>
      </c>
      <c r="Q14" s="20">
        <v>0</v>
      </c>
      <c r="R14" s="20">
        <v>0</v>
      </c>
      <c r="S14" s="20">
        <v>0</v>
      </c>
      <c r="T14" s="20">
        <v>0</v>
      </c>
      <c r="U14" s="10">
        <v>0</v>
      </c>
    </row>
    <row r="15" spans="1:21" x14ac:dyDescent="0.25">
      <c r="A15" s="4"/>
      <c r="B15" s="4"/>
      <c r="C15" s="4"/>
      <c r="D15" s="14" t="s">
        <v>43</v>
      </c>
      <c r="E15" s="15">
        <v>0</v>
      </c>
      <c r="F15" s="21">
        <v>0</v>
      </c>
      <c r="G15" s="21">
        <v>0</v>
      </c>
      <c r="H15" s="21">
        <v>0</v>
      </c>
      <c r="I15" s="21">
        <v>0</v>
      </c>
      <c r="J15" s="21">
        <v>0</v>
      </c>
      <c r="K15" s="21">
        <v>0</v>
      </c>
      <c r="L15" s="21">
        <v>0</v>
      </c>
      <c r="M15" s="21">
        <v>0</v>
      </c>
      <c r="N15" s="15">
        <v>0</v>
      </c>
      <c r="O15" s="21">
        <v>336</v>
      </c>
      <c r="P15" s="21">
        <v>0</v>
      </c>
      <c r="Q15" s="21">
        <v>0</v>
      </c>
      <c r="R15" s="21">
        <v>1214</v>
      </c>
      <c r="S15" s="21">
        <v>0</v>
      </c>
      <c r="T15" s="21">
        <v>0</v>
      </c>
      <c r="U15" s="16">
        <v>1550</v>
      </c>
    </row>
    <row r="16" spans="1:21" x14ac:dyDescent="0.25">
      <c r="A16" s="4"/>
      <c r="B16" s="4"/>
      <c r="C16" s="4"/>
      <c r="D16" s="14" t="s">
        <v>44</v>
      </c>
      <c r="E16" s="15">
        <v>0</v>
      </c>
      <c r="F16" s="21">
        <v>0</v>
      </c>
      <c r="G16" s="21">
        <v>0</v>
      </c>
      <c r="H16" s="21">
        <v>0</v>
      </c>
      <c r="I16" s="21">
        <v>0</v>
      </c>
      <c r="J16" s="21">
        <v>0</v>
      </c>
      <c r="K16" s="21">
        <v>0</v>
      </c>
      <c r="L16" s="21">
        <v>0</v>
      </c>
      <c r="M16" s="21">
        <v>0</v>
      </c>
      <c r="N16" s="15">
        <v>0</v>
      </c>
      <c r="O16" s="21">
        <v>0</v>
      </c>
      <c r="P16" s="21">
        <v>0</v>
      </c>
      <c r="Q16" s="21">
        <v>0</v>
      </c>
      <c r="R16" s="21">
        <v>0</v>
      </c>
      <c r="S16" s="21">
        <v>798</v>
      </c>
      <c r="T16" s="21">
        <v>168</v>
      </c>
      <c r="U16" s="16">
        <v>966</v>
      </c>
    </row>
    <row r="17" spans="1:21" x14ac:dyDescent="0.25">
      <c r="A17" s="4"/>
      <c r="B17" s="4"/>
      <c r="C17" s="4"/>
      <c r="D17" s="14" t="s">
        <v>45</v>
      </c>
      <c r="E17" s="15">
        <v>0</v>
      </c>
      <c r="F17" s="21">
        <v>0</v>
      </c>
      <c r="G17" s="21">
        <v>0</v>
      </c>
      <c r="H17" s="21">
        <v>0</v>
      </c>
      <c r="I17" s="21">
        <v>0</v>
      </c>
      <c r="J17" s="21">
        <v>0</v>
      </c>
      <c r="K17" s="21">
        <v>0</v>
      </c>
      <c r="L17" s="21">
        <v>0</v>
      </c>
      <c r="M17" s="21">
        <v>0</v>
      </c>
      <c r="N17" s="15">
        <v>0</v>
      </c>
      <c r="O17" s="21">
        <v>0</v>
      </c>
      <c r="P17" s="21">
        <v>0</v>
      </c>
      <c r="Q17" s="21">
        <v>0</v>
      </c>
      <c r="R17" s="21">
        <v>0</v>
      </c>
      <c r="S17" s="21">
        <v>835</v>
      </c>
      <c r="T17" s="21">
        <v>147</v>
      </c>
      <c r="U17" s="16">
        <v>982</v>
      </c>
    </row>
    <row r="18" spans="1:21" x14ac:dyDescent="0.25">
      <c r="A18" s="4"/>
      <c r="B18" s="4"/>
      <c r="C18" s="4"/>
      <c r="D18" s="14" t="s">
        <v>46</v>
      </c>
      <c r="E18" s="15">
        <v>0</v>
      </c>
      <c r="F18" s="21">
        <v>0</v>
      </c>
      <c r="G18" s="21">
        <v>0</v>
      </c>
      <c r="H18" s="21">
        <v>0</v>
      </c>
      <c r="I18" s="21">
        <v>0</v>
      </c>
      <c r="J18" s="21">
        <v>0</v>
      </c>
      <c r="K18" s="21">
        <v>0</v>
      </c>
      <c r="L18" s="21">
        <v>0</v>
      </c>
      <c r="M18" s="21">
        <v>0</v>
      </c>
      <c r="N18" s="15">
        <v>0</v>
      </c>
      <c r="O18" s="21">
        <v>0</v>
      </c>
      <c r="P18" s="21">
        <v>0</v>
      </c>
      <c r="Q18" s="21">
        <v>0</v>
      </c>
      <c r="R18" s="21">
        <v>0</v>
      </c>
      <c r="S18" s="21">
        <v>1785</v>
      </c>
      <c r="T18" s="21">
        <v>0</v>
      </c>
      <c r="U18" s="16">
        <v>1785</v>
      </c>
    </row>
    <row r="19" spans="1:21" x14ac:dyDescent="0.25">
      <c r="A19" s="4"/>
      <c r="B19" s="4"/>
      <c r="C19" s="1" t="s">
        <v>14</v>
      </c>
      <c r="D19" s="1" t="s">
        <v>14</v>
      </c>
      <c r="E19" s="11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11">
        <v>0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10">
        <v>0</v>
      </c>
    </row>
    <row r="20" spans="1:21" x14ac:dyDescent="0.25">
      <c r="A20" s="4"/>
      <c r="B20" s="4"/>
      <c r="C20" s="4"/>
      <c r="D20" s="14" t="s">
        <v>47</v>
      </c>
      <c r="E20" s="15">
        <v>225</v>
      </c>
      <c r="F20" s="21">
        <v>0</v>
      </c>
      <c r="G20" s="21">
        <v>0</v>
      </c>
      <c r="H20" s="21">
        <v>0</v>
      </c>
      <c r="I20" s="21">
        <v>0</v>
      </c>
      <c r="J20" s="21">
        <v>0</v>
      </c>
      <c r="K20" s="21">
        <v>0</v>
      </c>
      <c r="L20" s="21">
        <v>0</v>
      </c>
      <c r="M20" s="21">
        <v>0</v>
      </c>
      <c r="N20" s="15">
        <v>0</v>
      </c>
      <c r="O20" s="21">
        <v>0</v>
      </c>
      <c r="P20" s="21">
        <v>0</v>
      </c>
      <c r="Q20" s="21">
        <v>0</v>
      </c>
      <c r="R20" s="21">
        <v>0</v>
      </c>
      <c r="S20" s="21">
        <v>1065</v>
      </c>
      <c r="T20" s="21">
        <v>0</v>
      </c>
      <c r="U20" s="16">
        <v>1290</v>
      </c>
    </row>
    <row r="21" spans="1:21" x14ac:dyDescent="0.25">
      <c r="A21" s="4"/>
      <c r="B21" s="4"/>
      <c r="C21" s="1" t="s">
        <v>15</v>
      </c>
      <c r="D21" s="1" t="s">
        <v>15</v>
      </c>
      <c r="E21" s="11">
        <v>0</v>
      </c>
      <c r="F21" s="20">
        <v>0</v>
      </c>
      <c r="G21" s="20">
        <v>0</v>
      </c>
      <c r="H21" s="20">
        <v>0</v>
      </c>
      <c r="I21" s="20">
        <v>0</v>
      </c>
      <c r="J21" s="20">
        <v>0</v>
      </c>
      <c r="K21" s="20">
        <v>0</v>
      </c>
      <c r="L21" s="20">
        <v>0</v>
      </c>
      <c r="M21" s="20">
        <v>0</v>
      </c>
      <c r="N21" s="11">
        <v>0</v>
      </c>
      <c r="O21" s="20">
        <v>0</v>
      </c>
      <c r="P21" s="20">
        <v>0</v>
      </c>
      <c r="Q21" s="20">
        <v>0</v>
      </c>
      <c r="R21" s="20">
        <v>0</v>
      </c>
      <c r="S21" s="20">
        <v>0</v>
      </c>
      <c r="T21" s="20">
        <v>0</v>
      </c>
      <c r="U21" s="10">
        <v>0</v>
      </c>
    </row>
    <row r="22" spans="1:21" x14ac:dyDescent="0.25">
      <c r="A22" s="4"/>
      <c r="B22" s="4"/>
      <c r="C22" s="4"/>
      <c r="D22" s="14" t="s">
        <v>48</v>
      </c>
      <c r="E22" s="15">
        <v>0</v>
      </c>
      <c r="F22" s="21">
        <v>0</v>
      </c>
      <c r="G22" s="21">
        <v>0</v>
      </c>
      <c r="H22" s="21">
        <v>0</v>
      </c>
      <c r="I22" s="21">
        <v>0</v>
      </c>
      <c r="J22" s="21">
        <v>0</v>
      </c>
      <c r="K22" s="21">
        <v>0</v>
      </c>
      <c r="L22" s="21">
        <v>0</v>
      </c>
      <c r="M22" s="21">
        <v>0</v>
      </c>
      <c r="N22" s="15">
        <v>0</v>
      </c>
      <c r="O22" s="21">
        <v>0</v>
      </c>
      <c r="P22" s="21">
        <v>0</v>
      </c>
      <c r="Q22" s="21">
        <v>0</v>
      </c>
      <c r="R22" s="21">
        <v>0</v>
      </c>
      <c r="S22" s="21">
        <v>136.5</v>
      </c>
      <c r="T22" s="21">
        <v>0</v>
      </c>
      <c r="U22" s="16">
        <v>136.5</v>
      </c>
    </row>
    <row r="23" spans="1:21" x14ac:dyDescent="0.25">
      <c r="A23" s="4"/>
      <c r="B23" s="4"/>
      <c r="C23" s="4"/>
      <c r="D23" s="14" t="s">
        <v>49</v>
      </c>
      <c r="E23" s="15">
        <v>600</v>
      </c>
      <c r="F23" s="21">
        <v>600</v>
      </c>
      <c r="G23" s="21">
        <v>600</v>
      </c>
      <c r="H23" s="21">
        <v>300</v>
      </c>
      <c r="I23" s="21">
        <v>0</v>
      </c>
      <c r="J23" s="21">
        <v>0</v>
      </c>
      <c r="K23" s="21">
        <v>0</v>
      </c>
      <c r="L23" s="21">
        <v>0</v>
      </c>
      <c r="M23" s="21">
        <v>0</v>
      </c>
      <c r="N23" s="15">
        <v>0</v>
      </c>
      <c r="O23" s="21">
        <v>0</v>
      </c>
      <c r="P23" s="21">
        <v>0</v>
      </c>
      <c r="Q23" s="21">
        <v>0</v>
      </c>
      <c r="R23" s="21">
        <v>0</v>
      </c>
      <c r="S23" s="21">
        <v>0</v>
      </c>
      <c r="T23" s="21">
        <v>267</v>
      </c>
      <c r="U23" s="16">
        <v>2367</v>
      </c>
    </row>
    <row r="24" spans="1:21" x14ac:dyDescent="0.25">
      <c r="A24" s="1" t="s">
        <v>2</v>
      </c>
      <c r="B24" s="1" t="s">
        <v>7</v>
      </c>
      <c r="C24" s="1" t="s">
        <v>7</v>
      </c>
      <c r="D24" s="2"/>
      <c r="E24" s="11">
        <v>0</v>
      </c>
      <c r="F24" s="20">
        <v>0</v>
      </c>
      <c r="G24" s="20">
        <v>0</v>
      </c>
      <c r="H24" s="20">
        <v>0</v>
      </c>
      <c r="I24" s="20">
        <v>0</v>
      </c>
      <c r="J24" s="20">
        <v>0</v>
      </c>
      <c r="K24" s="20">
        <v>0</v>
      </c>
      <c r="L24" s="20">
        <v>0</v>
      </c>
      <c r="M24" s="20">
        <v>0</v>
      </c>
      <c r="N24" s="11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10">
        <v>0</v>
      </c>
    </row>
    <row r="25" spans="1:21" x14ac:dyDescent="0.25">
      <c r="A25" s="4"/>
      <c r="B25" s="4"/>
      <c r="C25" s="1" t="s">
        <v>11</v>
      </c>
      <c r="D25" s="1" t="s">
        <v>11</v>
      </c>
      <c r="E25" s="11">
        <v>0</v>
      </c>
      <c r="F25" s="20">
        <v>0</v>
      </c>
      <c r="G25" s="20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11">
        <v>0</v>
      </c>
      <c r="O25" s="20">
        <v>0</v>
      </c>
      <c r="P25" s="20">
        <v>0</v>
      </c>
      <c r="Q25" s="20">
        <v>0</v>
      </c>
      <c r="R25" s="20">
        <v>0</v>
      </c>
      <c r="S25" s="20">
        <v>0</v>
      </c>
      <c r="T25" s="20">
        <v>0</v>
      </c>
      <c r="U25" s="10">
        <v>0</v>
      </c>
    </row>
    <row r="26" spans="1:21" x14ac:dyDescent="0.25">
      <c r="A26" s="4"/>
      <c r="B26" s="4"/>
      <c r="C26" s="4"/>
      <c r="D26" s="14" t="s">
        <v>37</v>
      </c>
      <c r="E26" s="15">
        <v>2784</v>
      </c>
      <c r="F26" s="21">
        <v>3384</v>
      </c>
      <c r="G26" s="21">
        <v>3984</v>
      </c>
      <c r="H26" s="21">
        <v>4404</v>
      </c>
      <c r="I26" s="21">
        <v>4404</v>
      </c>
      <c r="J26" s="21">
        <v>4404</v>
      </c>
      <c r="K26" s="21">
        <v>4404</v>
      </c>
      <c r="L26" s="21">
        <v>4562.5</v>
      </c>
      <c r="M26" s="21">
        <v>4562.5</v>
      </c>
      <c r="N26" s="15">
        <v>4562.5</v>
      </c>
      <c r="O26" s="21">
        <v>4721</v>
      </c>
      <c r="P26" s="21">
        <v>4721</v>
      </c>
      <c r="Q26" s="21">
        <v>4721</v>
      </c>
      <c r="R26" s="21">
        <v>4879.5</v>
      </c>
      <c r="S26" s="21">
        <v>4879.5</v>
      </c>
      <c r="T26" s="21">
        <v>5038</v>
      </c>
      <c r="U26" s="16">
        <v>5038</v>
      </c>
    </row>
    <row r="27" spans="1:21" x14ac:dyDescent="0.25">
      <c r="A27" s="4"/>
      <c r="B27" s="4"/>
      <c r="C27" s="1" t="s">
        <v>12</v>
      </c>
      <c r="D27" s="1" t="s">
        <v>12</v>
      </c>
      <c r="E27" s="11">
        <v>0</v>
      </c>
      <c r="F27" s="20">
        <v>0</v>
      </c>
      <c r="G27" s="20">
        <v>0</v>
      </c>
      <c r="H27" s="20">
        <v>0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11">
        <v>0</v>
      </c>
      <c r="O27" s="20">
        <v>0</v>
      </c>
      <c r="P27" s="20">
        <v>0</v>
      </c>
      <c r="Q27" s="20">
        <v>0</v>
      </c>
      <c r="R27" s="20">
        <v>0</v>
      </c>
      <c r="S27" s="20">
        <v>0</v>
      </c>
      <c r="T27" s="20">
        <v>0</v>
      </c>
      <c r="U27" s="10">
        <v>0</v>
      </c>
    </row>
    <row r="28" spans="1:21" x14ac:dyDescent="0.25">
      <c r="A28" s="4"/>
      <c r="B28" s="4"/>
      <c r="C28" s="4"/>
      <c r="D28" s="14" t="s">
        <v>38</v>
      </c>
      <c r="E28" s="15">
        <v>0</v>
      </c>
      <c r="F28" s="21">
        <v>0</v>
      </c>
      <c r="G28" s="21">
        <v>0</v>
      </c>
      <c r="H28" s="21">
        <v>150</v>
      </c>
      <c r="I28" s="21">
        <v>1111</v>
      </c>
      <c r="J28" s="21">
        <v>1783</v>
      </c>
      <c r="K28" s="21">
        <v>1783</v>
      </c>
      <c r="L28" s="21">
        <v>1783</v>
      </c>
      <c r="M28" s="21">
        <v>1783</v>
      </c>
      <c r="N28" s="15">
        <v>1783</v>
      </c>
      <c r="O28" s="21">
        <v>1808</v>
      </c>
      <c r="P28" s="21">
        <v>2508</v>
      </c>
      <c r="Q28" s="21">
        <v>2533</v>
      </c>
      <c r="R28" s="21">
        <v>2533</v>
      </c>
      <c r="S28" s="21">
        <v>2533</v>
      </c>
      <c r="T28" s="21">
        <v>2533</v>
      </c>
      <c r="U28" s="16">
        <v>2533</v>
      </c>
    </row>
    <row r="29" spans="1:21" x14ac:dyDescent="0.25">
      <c r="A29" s="4"/>
      <c r="B29" s="4"/>
      <c r="C29" s="4"/>
      <c r="D29" s="14" t="s">
        <v>39</v>
      </c>
      <c r="E29" s="15">
        <v>0</v>
      </c>
      <c r="F29" s="21">
        <v>0</v>
      </c>
      <c r="G29" s="21">
        <v>0</v>
      </c>
      <c r="H29" s="21">
        <v>75</v>
      </c>
      <c r="I29" s="21">
        <v>527</v>
      </c>
      <c r="J29" s="21">
        <v>947</v>
      </c>
      <c r="K29" s="21">
        <v>1367</v>
      </c>
      <c r="L29" s="21">
        <v>1451</v>
      </c>
      <c r="M29" s="21">
        <v>1451</v>
      </c>
      <c r="N29" s="15">
        <v>1451</v>
      </c>
      <c r="O29" s="21">
        <v>1556</v>
      </c>
      <c r="P29" s="21">
        <v>1856</v>
      </c>
      <c r="Q29" s="21">
        <v>2306</v>
      </c>
      <c r="R29" s="21">
        <v>2306</v>
      </c>
      <c r="S29" s="21">
        <v>2306</v>
      </c>
      <c r="T29" s="21">
        <v>2306</v>
      </c>
      <c r="U29" s="16">
        <v>2306</v>
      </c>
    </row>
    <row r="30" spans="1:21" x14ac:dyDescent="0.25">
      <c r="A30" s="4"/>
      <c r="B30" s="4"/>
      <c r="C30" s="4"/>
      <c r="D30" s="14" t="s">
        <v>40</v>
      </c>
      <c r="E30" s="15">
        <v>0</v>
      </c>
      <c r="F30" s="21">
        <v>0</v>
      </c>
      <c r="G30" s="21">
        <v>0</v>
      </c>
      <c r="H30" s="21">
        <v>0</v>
      </c>
      <c r="I30" s="21">
        <v>0</v>
      </c>
      <c r="J30" s="21">
        <v>0</v>
      </c>
      <c r="K30" s="21">
        <v>0</v>
      </c>
      <c r="L30" s="21">
        <v>276</v>
      </c>
      <c r="M30" s="21">
        <v>1368</v>
      </c>
      <c r="N30" s="15">
        <v>1725</v>
      </c>
      <c r="O30" s="21">
        <v>1725</v>
      </c>
      <c r="P30" s="21">
        <v>1725</v>
      </c>
      <c r="Q30" s="21">
        <v>2150</v>
      </c>
      <c r="R30" s="21">
        <v>2150</v>
      </c>
      <c r="S30" s="21">
        <v>2150</v>
      </c>
      <c r="T30" s="21">
        <v>2150</v>
      </c>
      <c r="U30" s="16">
        <v>2150</v>
      </c>
    </row>
    <row r="31" spans="1:21" x14ac:dyDescent="0.25">
      <c r="A31" s="4"/>
      <c r="B31" s="4"/>
      <c r="C31" s="4"/>
      <c r="D31" s="14" t="s">
        <v>41</v>
      </c>
      <c r="E31" s="15">
        <v>0</v>
      </c>
      <c r="F31" s="21">
        <v>0</v>
      </c>
      <c r="G31" s="21">
        <v>0</v>
      </c>
      <c r="H31" s="21">
        <v>0</v>
      </c>
      <c r="I31" s="21">
        <v>0</v>
      </c>
      <c r="J31" s="21">
        <v>0</v>
      </c>
      <c r="K31" s="21">
        <v>0</v>
      </c>
      <c r="L31" s="21">
        <v>365</v>
      </c>
      <c r="M31" s="21">
        <v>541</v>
      </c>
      <c r="N31" s="15">
        <v>688</v>
      </c>
      <c r="O31" s="21">
        <v>990</v>
      </c>
      <c r="P31" s="21">
        <v>1380</v>
      </c>
      <c r="Q31" s="21">
        <v>2052</v>
      </c>
      <c r="R31" s="21">
        <v>2052</v>
      </c>
      <c r="S31" s="21">
        <v>2052</v>
      </c>
      <c r="T31" s="21">
        <v>2052</v>
      </c>
      <c r="U31" s="16">
        <v>2052</v>
      </c>
    </row>
    <row r="32" spans="1:21" x14ac:dyDescent="0.25">
      <c r="A32" s="4"/>
      <c r="B32" s="4"/>
      <c r="C32" s="4"/>
      <c r="D32" s="14" t="s">
        <v>42</v>
      </c>
      <c r="E32" s="15">
        <v>0</v>
      </c>
      <c r="F32" s="21">
        <v>0</v>
      </c>
      <c r="G32" s="21">
        <v>0</v>
      </c>
      <c r="H32" s="21">
        <v>0</v>
      </c>
      <c r="I32" s="21">
        <v>226</v>
      </c>
      <c r="J32" s="21">
        <v>528</v>
      </c>
      <c r="K32" s="21">
        <v>528</v>
      </c>
      <c r="L32" s="21">
        <v>549</v>
      </c>
      <c r="M32" s="21">
        <v>549</v>
      </c>
      <c r="N32" s="15">
        <v>838</v>
      </c>
      <c r="O32" s="21">
        <v>1559</v>
      </c>
      <c r="P32" s="21">
        <v>1647</v>
      </c>
      <c r="Q32" s="21">
        <v>1897</v>
      </c>
      <c r="R32" s="21">
        <v>2397</v>
      </c>
      <c r="S32" s="21">
        <v>2397</v>
      </c>
      <c r="T32" s="21">
        <v>2397</v>
      </c>
      <c r="U32" s="16">
        <v>2397</v>
      </c>
    </row>
    <row r="33" spans="1:21" x14ac:dyDescent="0.25">
      <c r="A33" s="4"/>
      <c r="B33" s="4"/>
      <c r="C33" s="1" t="s">
        <v>13</v>
      </c>
      <c r="D33" s="1" t="s">
        <v>13</v>
      </c>
      <c r="E33" s="11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11">
        <v>0</v>
      </c>
      <c r="O33" s="20">
        <v>0</v>
      </c>
      <c r="P33" s="20">
        <v>0</v>
      </c>
      <c r="Q33" s="20">
        <v>0</v>
      </c>
      <c r="R33" s="20">
        <v>0</v>
      </c>
      <c r="S33" s="20">
        <v>0</v>
      </c>
      <c r="T33" s="20">
        <v>0</v>
      </c>
      <c r="U33" s="10">
        <v>0</v>
      </c>
    </row>
    <row r="34" spans="1:21" x14ac:dyDescent="0.25">
      <c r="A34" s="4"/>
      <c r="B34" s="4"/>
      <c r="C34" s="4"/>
      <c r="D34" s="14" t="s">
        <v>43</v>
      </c>
      <c r="E34" s="15">
        <v>0</v>
      </c>
      <c r="F34" s="21">
        <v>0</v>
      </c>
      <c r="G34" s="21">
        <v>0</v>
      </c>
      <c r="H34" s="21">
        <v>0</v>
      </c>
      <c r="I34" s="21">
        <v>0</v>
      </c>
      <c r="J34" s="21">
        <v>0</v>
      </c>
      <c r="K34" s="21">
        <v>0</v>
      </c>
      <c r="L34" s="21">
        <v>0</v>
      </c>
      <c r="M34" s="21">
        <v>0</v>
      </c>
      <c r="N34" s="15">
        <v>0</v>
      </c>
      <c r="O34" s="21">
        <v>336</v>
      </c>
      <c r="P34" s="21">
        <v>336</v>
      </c>
      <c r="Q34" s="21">
        <v>336</v>
      </c>
      <c r="R34" s="21">
        <v>1550</v>
      </c>
      <c r="S34" s="21">
        <v>1550</v>
      </c>
      <c r="T34" s="21">
        <v>1550</v>
      </c>
      <c r="U34" s="16">
        <v>1550</v>
      </c>
    </row>
    <row r="35" spans="1:21" x14ac:dyDescent="0.25">
      <c r="A35" s="4"/>
      <c r="B35" s="4"/>
      <c r="C35" s="4"/>
      <c r="D35" s="14" t="s">
        <v>44</v>
      </c>
      <c r="E35" s="15">
        <v>0</v>
      </c>
      <c r="F35" s="21">
        <v>0</v>
      </c>
      <c r="G35" s="21">
        <v>0</v>
      </c>
      <c r="H35" s="21">
        <v>0</v>
      </c>
      <c r="I35" s="21">
        <v>0</v>
      </c>
      <c r="J35" s="21">
        <v>0</v>
      </c>
      <c r="K35" s="21">
        <v>0</v>
      </c>
      <c r="L35" s="21">
        <v>0</v>
      </c>
      <c r="M35" s="21">
        <v>0</v>
      </c>
      <c r="N35" s="15">
        <v>0</v>
      </c>
      <c r="O35" s="21">
        <v>0</v>
      </c>
      <c r="P35" s="21">
        <v>0</v>
      </c>
      <c r="Q35" s="21">
        <v>0</v>
      </c>
      <c r="R35" s="21">
        <v>0</v>
      </c>
      <c r="S35" s="21">
        <v>798</v>
      </c>
      <c r="T35" s="21">
        <v>966</v>
      </c>
      <c r="U35" s="16">
        <v>966</v>
      </c>
    </row>
    <row r="36" spans="1:21" x14ac:dyDescent="0.25">
      <c r="A36" s="4"/>
      <c r="B36" s="4"/>
      <c r="C36" s="4"/>
      <c r="D36" s="14" t="s">
        <v>45</v>
      </c>
      <c r="E36" s="15">
        <v>0</v>
      </c>
      <c r="F36" s="21">
        <v>0</v>
      </c>
      <c r="G36" s="21">
        <v>0</v>
      </c>
      <c r="H36" s="21">
        <v>0</v>
      </c>
      <c r="I36" s="21">
        <v>0</v>
      </c>
      <c r="J36" s="21">
        <v>0</v>
      </c>
      <c r="K36" s="21">
        <v>0</v>
      </c>
      <c r="L36" s="21">
        <v>0</v>
      </c>
      <c r="M36" s="21">
        <v>0</v>
      </c>
      <c r="N36" s="15">
        <v>0</v>
      </c>
      <c r="O36" s="21">
        <v>0</v>
      </c>
      <c r="P36" s="21">
        <v>0</v>
      </c>
      <c r="Q36" s="21">
        <v>0</v>
      </c>
      <c r="R36" s="21">
        <v>0</v>
      </c>
      <c r="S36" s="21">
        <v>835</v>
      </c>
      <c r="T36" s="21">
        <v>982</v>
      </c>
      <c r="U36" s="16">
        <v>982</v>
      </c>
    </row>
    <row r="37" spans="1:21" x14ac:dyDescent="0.25">
      <c r="A37" s="4"/>
      <c r="B37" s="4"/>
      <c r="C37" s="4"/>
      <c r="D37" s="14" t="s">
        <v>46</v>
      </c>
      <c r="E37" s="15">
        <v>0</v>
      </c>
      <c r="F37" s="21">
        <v>0</v>
      </c>
      <c r="G37" s="21">
        <v>0</v>
      </c>
      <c r="H37" s="21">
        <v>0</v>
      </c>
      <c r="I37" s="21">
        <v>0</v>
      </c>
      <c r="J37" s="21">
        <v>0</v>
      </c>
      <c r="K37" s="21">
        <v>0</v>
      </c>
      <c r="L37" s="21">
        <v>0</v>
      </c>
      <c r="M37" s="21">
        <v>0</v>
      </c>
      <c r="N37" s="15">
        <v>0</v>
      </c>
      <c r="O37" s="21">
        <v>0</v>
      </c>
      <c r="P37" s="21">
        <v>0</v>
      </c>
      <c r="Q37" s="21">
        <v>0</v>
      </c>
      <c r="R37" s="21">
        <v>0</v>
      </c>
      <c r="S37" s="21">
        <v>1785</v>
      </c>
      <c r="T37" s="21">
        <v>1785</v>
      </c>
      <c r="U37" s="16">
        <v>1785</v>
      </c>
    </row>
    <row r="38" spans="1:21" x14ac:dyDescent="0.25">
      <c r="A38" s="4"/>
      <c r="B38" s="4"/>
      <c r="C38" s="1" t="s">
        <v>14</v>
      </c>
      <c r="D38" s="1" t="s">
        <v>14</v>
      </c>
      <c r="E38" s="11">
        <v>0</v>
      </c>
      <c r="F38" s="20">
        <v>0</v>
      </c>
      <c r="G38" s="20">
        <v>0</v>
      </c>
      <c r="H38" s="20">
        <v>0</v>
      </c>
      <c r="I38" s="20">
        <v>0</v>
      </c>
      <c r="J38" s="20">
        <v>0</v>
      </c>
      <c r="K38" s="20">
        <v>0</v>
      </c>
      <c r="L38" s="20">
        <v>0</v>
      </c>
      <c r="M38" s="20">
        <v>0</v>
      </c>
      <c r="N38" s="11">
        <v>0</v>
      </c>
      <c r="O38" s="20">
        <v>0</v>
      </c>
      <c r="P38" s="20">
        <v>0</v>
      </c>
      <c r="Q38" s="20">
        <v>0</v>
      </c>
      <c r="R38" s="20">
        <v>0</v>
      </c>
      <c r="S38" s="20">
        <v>0</v>
      </c>
      <c r="T38" s="20">
        <v>0</v>
      </c>
      <c r="U38" s="10">
        <v>0</v>
      </c>
    </row>
    <row r="39" spans="1:21" x14ac:dyDescent="0.25">
      <c r="A39" s="4"/>
      <c r="B39" s="4"/>
      <c r="C39" s="4"/>
      <c r="D39" s="14" t="s">
        <v>47</v>
      </c>
      <c r="E39" s="15">
        <v>225</v>
      </c>
      <c r="F39" s="21">
        <v>225</v>
      </c>
      <c r="G39" s="21">
        <v>225</v>
      </c>
      <c r="H39" s="21">
        <v>225</v>
      </c>
      <c r="I39" s="21">
        <v>225</v>
      </c>
      <c r="J39" s="21">
        <v>225</v>
      </c>
      <c r="K39" s="21">
        <v>225</v>
      </c>
      <c r="L39" s="21">
        <v>225</v>
      </c>
      <c r="M39" s="21">
        <v>225</v>
      </c>
      <c r="N39" s="15">
        <v>225</v>
      </c>
      <c r="O39" s="21">
        <v>225</v>
      </c>
      <c r="P39" s="21">
        <v>225</v>
      </c>
      <c r="Q39" s="21">
        <v>225</v>
      </c>
      <c r="R39" s="21">
        <v>225</v>
      </c>
      <c r="S39" s="21">
        <v>1290</v>
      </c>
      <c r="T39" s="21">
        <v>1290</v>
      </c>
      <c r="U39" s="16">
        <v>1290</v>
      </c>
    </row>
    <row r="40" spans="1:21" x14ac:dyDescent="0.25">
      <c r="A40" s="4"/>
      <c r="B40" s="4"/>
      <c r="C40" s="1" t="s">
        <v>15</v>
      </c>
      <c r="D40" s="1" t="s">
        <v>15</v>
      </c>
      <c r="E40" s="11">
        <v>0</v>
      </c>
      <c r="F40" s="20">
        <v>0</v>
      </c>
      <c r="G40" s="20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11">
        <v>0</v>
      </c>
      <c r="O40" s="20">
        <v>0</v>
      </c>
      <c r="P40" s="20">
        <v>0</v>
      </c>
      <c r="Q40" s="20">
        <v>0</v>
      </c>
      <c r="R40" s="20">
        <v>0</v>
      </c>
      <c r="S40" s="20">
        <v>0</v>
      </c>
      <c r="T40" s="20">
        <v>0</v>
      </c>
      <c r="U40" s="10">
        <v>0</v>
      </c>
    </row>
    <row r="41" spans="1:21" x14ac:dyDescent="0.25">
      <c r="A41" s="4"/>
      <c r="B41" s="4"/>
      <c r="C41" s="4"/>
      <c r="D41" s="14" t="s">
        <v>48</v>
      </c>
      <c r="E41" s="15">
        <v>0</v>
      </c>
      <c r="F41" s="21">
        <v>0</v>
      </c>
      <c r="G41" s="21">
        <v>0</v>
      </c>
      <c r="H41" s="21">
        <v>0</v>
      </c>
      <c r="I41" s="21">
        <v>0</v>
      </c>
      <c r="J41" s="21">
        <v>0</v>
      </c>
      <c r="K41" s="21">
        <v>0</v>
      </c>
      <c r="L41" s="21">
        <v>0</v>
      </c>
      <c r="M41" s="21">
        <v>0</v>
      </c>
      <c r="N41" s="15">
        <v>0</v>
      </c>
      <c r="O41" s="21">
        <v>0</v>
      </c>
      <c r="P41" s="21">
        <v>0</v>
      </c>
      <c r="Q41" s="21">
        <v>0</v>
      </c>
      <c r="R41" s="21">
        <v>0</v>
      </c>
      <c r="S41" s="21">
        <v>136.5</v>
      </c>
      <c r="T41" s="21">
        <v>136.5</v>
      </c>
      <c r="U41" s="16">
        <v>136.5</v>
      </c>
    </row>
    <row r="42" spans="1:21" x14ac:dyDescent="0.25">
      <c r="A42" s="4"/>
      <c r="B42" s="4"/>
      <c r="C42" s="4"/>
      <c r="D42" s="14" t="s">
        <v>49</v>
      </c>
      <c r="E42" s="15">
        <v>600</v>
      </c>
      <c r="F42" s="21">
        <v>1200</v>
      </c>
      <c r="G42" s="21">
        <v>1800</v>
      </c>
      <c r="H42" s="21">
        <v>2100</v>
      </c>
      <c r="I42" s="21">
        <v>2100</v>
      </c>
      <c r="J42" s="21">
        <v>2100</v>
      </c>
      <c r="K42" s="21">
        <v>2100</v>
      </c>
      <c r="L42" s="21">
        <v>2100</v>
      </c>
      <c r="M42" s="21">
        <v>2100</v>
      </c>
      <c r="N42" s="15">
        <v>2100</v>
      </c>
      <c r="O42" s="21">
        <v>2100</v>
      </c>
      <c r="P42" s="21">
        <v>2100</v>
      </c>
      <c r="Q42" s="21">
        <v>2100</v>
      </c>
      <c r="R42" s="21">
        <v>2100</v>
      </c>
      <c r="S42" s="21">
        <v>2100</v>
      </c>
      <c r="T42" s="21">
        <v>2367</v>
      </c>
      <c r="U42" s="16">
        <v>2367</v>
      </c>
    </row>
    <row r="43" spans="1:21" x14ac:dyDescent="0.25">
      <c r="A43" s="1" t="s">
        <v>8</v>
      </c>
      <c r="B43" s="2"/>
      <c r="C43" s="2"/>
      <c r="D43" s="2"/>
      <c r="E43" s="11">
        <v>3609</v>
      </c>
      <c r="F43" s="20">
        <v>1200</v>
      </c>
      <c r="G43" s="20">
        <v>1200</v>
      </c>
      <c r="H43" s="20">
        <v>945</v>
      </c>
      <c r="I43" s="20">
        <v>1639</v>
      </c>
      <c r="J43" s="20">
        <v>1394</v>
      </c>
      <c r="K43" s="20">
        <v>420</v>
      </c>
      <c r="L43" s="20">
        <v>904.5</v>
      </c>
      <c r="M43" s="20">
        <v>1268</v>
      </c>
      <c r="N43" s="11">
        <v>793</v>
      </c>
      <c r="O43" s="20">
        <v>1647.5</v>
      </c>
      <c r="P43" s="20">
        <v>1478</v>
      </c>
      <c r="Q43" s="20">
        <v>1822</v>
      </c>
      <c r="R43" s="20">
        <v>1872.5</v>
      </c>
      <c r="S43" s="20">
        <v>4619.5</v>
      </c>
      <c r="T43" s="20">
        <v>740.5</v>
      </c>
      <c r="U43" s="10">
        <v>25552.5</v>
      </c>
    </row>
    <row r="44" spans="1:21" x14ac:dyDescent="0.25">
      <c r="A44" s="8" t="s">
        <v>9</v>
      </c>
      <c r="B44" s="12"/>
      <c r="C44" s="12"/>
      <c r="D44" s="12"/>
      <c r="E44" s="13">
        <v>3609</v>
      </c>
      <c r="F44" s="22">
        <v>4809</v>
      </c>
      <c r="G44" s="22">
        <v>6009</v>
      </c>
      <c r="H44" s="22">
        <v>6954</v>
      </c>
      <c r="I44" s="22">
        <v>8593</v>
      </c>
      <c r="J44" s="22">
        <v>9987</v>
      </c>
      <c r="K44" s="22">
        <v>10407</v>
      </c>
      <c r="L44" s="22">
        <v>11311.5</v>
      </c>
      <c r="M44" s="22">
        <v>12579.5</v>
      </c>
      <c r="N44" s="13">
        <v>13372.5</v>
      </c>
      <c r="O44" s="22">
        <v>15020</v>
      </c>
      <c r="P44" s="22">
        <v>16498</v>
      </c>
      <c r="Q44" s="22">
        <v>18320</v>
      </c>
      <c r="R44" s="22">
        <v>20192.5</v>
      </c>
      <c r="S44" s="22">
        <v>24812</v>
      </c>
      <c r="T44" s="22">
        <v>25552.5</v>
      </c>
      <c r="U44" s="9">
        <v>25552.5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DE LOS REYES PEREZ</dc:creator>
  <cp:lastModifiedBy>ALEJANDRO DE LOS REYES PEREZ</cp:lastModifiedBy>
  <dcterms:created xsi:type="dcterms:W3CDTF">2026-04-22T19:23:01Z</dcterms:created>
  <dcterms:modified xsi:type="dcterms:W3CDTF">2026-04-22T19:23:53Z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12ProjectFields0">
    <vt:lpwstr>188744941,188744943,188744945,188744857,188744856,188744852,188744851,188744940,188744955,188744954,188743688,188744947,188744948,188744951,188743686,188744981,188744980,188744979,188743681,188743698,188744967,188744966,188743701,188743700,188744799,18874</vt:lpwstr>
  </property>
  <property fmtid="{D5CDD505-2E9C-101B-9397-08002B2CF9AE}" pid="3" name="P12ProjectFields1">
    <vt:lpwstr>3705,188744965,188743702,188743696,</vt:lpwstr>
  </property>
  <property fmtid="{D5CDD505-2E9C-101B-9397-08002B2CF9AE}" pid="4" name="P12ContainerType">
    <vt:lpwstr>TaskTP.cub</vt:lpwstr>
  </property>
  <property fmtid="{D5CDD505-2E9C-101B-9397-08002B2CF9AE}" pid="5" name="P12Template">
    <vt:bool>true</vt:bool>
  </property>
</Properties>
</file>